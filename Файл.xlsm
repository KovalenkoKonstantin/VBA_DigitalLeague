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kkovalenko\Desktop\"/>
    </mc:Choice>
  </mc:AlternateContent>
  <xr:revisionPtr revIDLastSave="0" documentId="13_ncr:1_{AAD6D6B9-E905-49C1-9F95-89D1555F1C85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1" sheetId="2" r:id="rId1"/>
    <sheet name="коммент к вед по объемам 7.12. " sheetId="1" r:id="rId2"/>
  </sheets>
  <definedNames>
    <definedName name="_xlnm.Print_Area" localSheetId="0">'1'!$A$1:$Q$27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26" i="2" l="1"/>
  <c r="I26" i="2" l="1"/>
  <c r="H29" i="1" l="1"/>
  <c r="H28" i="1"/>
  <c r="H24" i="1"/>
  <c r="H20" i="1"/>
  <c r="H19" i="1"/>
  <c r="H18" i="1"/>
  <c r="H17" i="1"/>
  <c r="H16" i="1"/>
  <c r="H15" i="1"/>
  <c r="H14" i="1"/>
  <c r="H13" i="1"/>
  <c r="H12" i="1"/>
  <c r="H11" i="1"/>
  <c r="H10" i="1"/>
  <c r="H8" i="1"/>
  <c r="H7" i="1"/>
  <c r="H6" i="1"/>
  <c r="H4" i="1"/>
</calcChain>
</file>

<file path=xl/sharedStrings.xml><?xml version="1.0" encoding="utf-8"?>
<sst xmlns="http://schemas.openxmlformats.org/spreadsheetml/2006/main" count="431" uniqueCount="141">
  <si>
    <t>Ведомость заполнения дверных проемов 3 этажа</t>
  </si>
  <si>
    <t>Марка</t>
  </si>
  <si>
    <t>Обозначение</t>
  </si>
  <si>
    <t>Наименование</t>
  </si>
  <si>
    <t>Размер проема  (hxb, мм)</t>
  </si>
  <si>
    <t>Размер дверного полотна (hxb, мм)</t>
  </si>
  <si>
    <t>Кол-во</t>
  </si>
  <si>
    <t>Примечение</t>
  </si>
  <si>
    <t>доводчики</t>
  </si>
  <si>
    <t>система антипаника</t>
  </si>
  <si>
    <t>Помещение</t>
  </si>
  <si>
    <t>СКУД</t>
  </si>
  <si>
    <t>толщина полотна</t>
  </si>
  <si>
    <t>открывание внутреннее/ наружнее</t>
  </si>
  <si>
    <t>Д-1.1</t>
  </si>
  <si>
    <t>Индивидуального изготовления</t>
  </si>
  <si>
    <t xml:space="preserve">ДВ 1Рп 21х8 </t>
  </si>
  <si>
    <t>2100х810</t>
  </si>
  <si>
    <t>2000х700</t>
  </si>
  <si>
    <t>Дверь внутренняя деревянная со скрытой коробкой, однопольная, распашная, без порога, правого открывания, с доводчиком. Фурнитуру и фирму-изготовителя принять в соответствии с дизайн-проектом</t>
  </si>
  <si>
    <t>С/У</t>
  </si>
  <si>
    <t>Д-1.2</t>
  </si>
  <si>
    <t xml:space="preserve">ДВ 1Рл 21х8 </t>
  </si>
  <si>
    <t>Дверь внутренняя деревянная со скрытой коробкой, однопольная, распашная, без порога, левого открывания, с доводчиком. Фурнитуру и фирму-изготовителя принять в соответствии с дизайн-проектом</t>
  </si>
  <si>
    <t>Д-1.3</t>
  </si>
  <si>
    <t>ДВ 1Рп 21х9</t>
  </si>
  <si>
    <t>2100х910</t>
  </si>
  <si>
    <t>2000х800</t>
  </si>
  <si>
    <t>Д-1.4</t>
  </si>
  <si>
    <t>ДВ 1Рл 21х9</t>
  </si>
  <si>
    <t>Д-2.3</t>
  </si>
  <si>
    <t>Комната отдыха, Тамбур, Кабинет директора ГБУ</t>
  </si>
  <si>
    <t>на плане 3, в ведомости  указано 4. исправлено на 3 шт. Нет понимания по планам где еще одна дверь.</t>
  </si>
  <si>
    <t>Д-2.4</t>
  </si>
  <si>
    <t>Раздевалка Женская</t>
  </si>
  <si>
    <t>AL250</t>
  </si>
  <si>
    <t>Д-2.5</t>
  </si>
  <si>
    <t>ДВ 1Рп 21х10</t>
  </si>
  <si>
    <t>2100х1010</t>
  </si>
  <si>
    <t>2000х900</t>
  </si>
  <si>
    <t>Кабинеты, Комната отдыха сотрудников, Раздевалка Мужская</t>
  </si>
  <si>
    <t>Д-2.6</t>
  </si>
  <si>
    <t>ДВ 1Рл 21х10</t>
  </si>
  <si>
    <t>Зона активного отдыха, Кабинеты</t>
  </si>
  <si>
    <t>на плане 24 указано 25. исправлено на 24 шт. Нет понимания где еще одна дверь.</t>
  </si>
  <si>
    <t>Д-2.10</t>
  </si>
  <si>
    <t>ДВ 2Рп 21х13</t>
  </si>
  <si>
    <t>2100х1310</t>
  </si>
  <si>
    <t>2000х1200</t>
  </si>
  <si>
    <t>Дверь внутренняя деревянная со скрытой коробкой, двупольная, каждое полотно 900мм, распашная, без порога, с довдчиком с координацией последовательного закрывания полотен. Фурнитуру и фирму-изготовителя принять в соответствии с дизайн-проектом</t>
  </si>
  <si>
    <t>Кабинет директора ГБУ</t>
  </si>
  <si>
    <t>доставка и ПРР</t>
  </si>
  <si>
    <t>Итого по непожарным дверям</t>
  </si>
  <si>
    <t>Д-3.6</t>
  </si>
  <si>
    <t>Дверь противопожарная с остеклением, EI 30, распашная, левого открывания, ручка антипаника, с доводчиком. Фурнитуру и фирму-изготовителя принять в соответствии с дизайн-проектом</t>
  </si>
  <si>
    <t>ЛК</t>
  </si>
  <si>
    <t>Д-3.9</t>
  </si>
  <si>
    <t>ДВ 2Рп 21х14</t>
  </si>
  <si>
    <t>2100х1350</t>
  </si>
  <si>
    <t>2000х1250</t>
  </si>
  <si>
    <t>Дверь противопожарная, EI 30, основное полотно правое 1000мм, распашная. Ручка антипаника на обе створки, с доводчиком с координацией последовательного закрывания полотен. Тип двери, фурнитуру и фирму-изготовителя принять в соответствии с дизайн-проектом</t>
  </si>
  <si>
    <t>Д-3.10</t>
  </si>
  <si>
    <t>ДВ 2Рл 21х14</t>
  </si>
  <si>
    <t>Дверь противопожарная, EI 30, основное полотно левое 1000мм, распашная. Ручка антипаника на обе створки, с доводчиком с координацией последовательного закрывания полотен. Тип двери, фурнитуру и фирму-изготовителя принять в соответствии с дизайн-проектом</t>
  </si>
  <si>
    <t>Д-3.10*</t>
  </si>
  <si>
    <t>Д-4.3</t>
  </si>
  <si>
    <t>Дверь противопожарная, EI30, однопольная, распашная, правого открывания, с доводчиком. Фурнитуру и фирму-изготовителя принять в соответствии с дизайн-проектом</t>
  </si>
  <si>
    <t>Серверная</t>
  </si>
  <si>
    <t>Д-4.6</t>
  </si>
  <si>
    <t>Дверь противопожарная, EI 30, однопольная, распашная, левого открывания, с доводчиком. Фурнитуру и фирму-изготовителя принять в соответствии с дизайн-проектом</t>
  </si>
  <si>
    <t>Д-4.8</t>
  </si>
  <si>
    <t xml:space="preserve">ДВ 1Рл 25х11 </t>
  </si>
  <si>
    <t>2500х1110</t>
  </si>
  <si>
    <t>2400х1000</t>
  </si>
  <si>
    <t>кабинет, лестница</t>
  </si>
  <si>
    <t>Д-4.14</t>
  </si>
  <si>
    <t>ДВ 2Р 21х15</t>
  </si>
  <si>
    <t>2100х1500</t>
  </si>
  <si>
    <t>2000х1400</t>
  </si>
  <si>
    <t>Дверь витражная,  EI 15, основное полотно правое 1000мм, распашная, с доводчиком с координацией последовательного закрывания полотен. Фурнитуру и фирму-изготовителя принять в соответствии с дизайн-проектом</t>
  </si>
  <si>
    <t>Коридор</t>
  </si>
  <si>
    <t>Д-4.15</t>
  </si>
  <si>
    <t>Дверь витражная,  EI 15, основное полотно левое 1000мм, распашная, с доводчиком с координацией последовательного закрывания полотен. Фурнитуру и фирму-изготовителя принять в соответствии с дизайн-проектом</t>
  </si>
  <si>
    <t>Ведомость заполенения проемов ЭЩ, шахт и т.п.</t>
  </si>
  <si>
    <t>Ко-во</t>
  </si>
  <si>
    <t>Д14</t>
  </si>
  <si>
    <t>ГОСТ Р 57327-2016</t>
  </si>
  <si>
    <t>ДПС 01 21х9 л EI 60</t>
  </si>
  <si>
    <t>2100х900</t>
  </si>
  <si>
    <t>Дверь противопожарная стальная глухая, однопльная, левая EI 60, в комплекте замок, ручка</t>
  </si>
  <si>
    <t>Д15</t>
  </si>
  <si>
    <t>ДПС 01 21х6 п EI 60</t>
  </si>
  <si>
    <t>2100х600</t>
  </si>
  <si>
    <t>Дверь противопожарная стальная глухая, однопльная, правая, EI 60, в комплекте замок, ручка</t>
  </si>
  <si>
    <t>Д16</t>
  </si>
  <si>
    <t>ДПС 01 21х14 п EI 60</t>
  </si>
  <si>
    <t>2100х1400</t>
  </si>
  <si>
    <t>Дверь противопожарная стальная глухая, двупольная, EI 60, в комплекте замок, ручка</t>
  </si>
  <si>
    <t>Д17</t>
  </si>
  <si>
    <t>ДПС 01 21х11 п EI 60</t>
  </si>
  <si>
    <t>2100х1100</t>
  </si>
  <si>
    <t>Д18</t>
  </si>
  <si>
    <t>ГК "Хаммер" или аналог</t>
  </si>
  <si>
    <t>Дверь-люк 01 21х11 п EI 60</t>
  </si>
  <si>
    <t>Люк-дверь Техно под покраску (Противопожарный), EI 60, в комплекте замок, ручка.8</t>
  </si>
  <si>
    <t>Л 1</t>
  </si>
  <si>
    <t>Люк-дверь Техно под покраску</t>
  </si>
  <si>
    <t>600Х800</t>
  </si>
  <si>
    <t>Люк-дверь Техно под покраску противопожарный стальной глухой, EI 60, в комплекте замок, ручка</t>
  </si>
  <si>
    <t>Л 2</t>
  </si>
  <si>
    <t>Люк-дверь Техно под плитку</t>
  </si>
  <si>
    <t>Люк-дверь Техно под плитку противопожарный под плитку, EI 60, в комплекте замок, ручка</t>
  </si>
  <si>
    <t>Л 3</t>
  </si>
  <si>
    <t xml:space="preserve">Люк "Стил" под плитку </t>
  </si>
  <si>
    <t>400Х600</t>
  </si>
  <si>
    <t>Люк "Стилс" под плитку. Размер люка принять кратный размеру плитки, но не менее 400х600мм</t>
  </si>
  <si>
    <t>Л 4</t>
  </si>
  <si>
    <t>Люк сантехнический</t>
  </si>
  <si>
    <t>150х150</t>
  </si>
  <si>
    <t>Количество и размеры уточнить по месту</t>
  </si>
  <si>
    <t>Л 5</t>
  </si>
  <si>
    <t>200х200</t>
  </si>
  <si>
    <t>Р-1</t>
  </si>
  <si>
    <t>Индивидуальное изготовление</t>
  </si>
  <si>
    <t>Рольставни</t>
  </si>
  <si>
    <t>1900х2100</t>
  </si>
  <si>
    <t>Рольставни на окно гардероба. Размеры уточнить по месту. Внешний вид согласовать с заказчиком</t>
  </si>
  <si>
    <t>внутреннее</t>
  </si>
  <si>
    <t>наружнее</t>
  </si>
  <si>
    <t>Объект:</t>
  </si>
  <si>
    <t>МОСЖИЛНИИПРОЕКТ ГАУ / Государственная инспекция по контролю за использованием объектов недвижимости города Москвы</t>
  </si>
  <si>
    <t>Адрес:</t>
  </si>
  <si>
    <t>Мясницкий пр-д, д.2/1 Москва</t>
  </si>
  <si>
    <t xml:space="preserve">Ведомость  из проекта </t>
  </si>
  <si>
    <t>3 этаж</t>
  </si>
  <si>
    <t>Ведомость заполнения дверных проемов</t>
  </si>
  <si>
    <t>№ помещения</t>
  </si>
  <si>
    <t>высота по замеру</t>
  </si>
  <si>
    <t>ширина проема по замеру</t>
  </si>
  <si>
    <t>согласованная высота в чертежи</t>
  </si>
  <si>
    <t>согласованная ширина проема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</si>
</sst>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2">
    <font>
      <sz val="11"/>
      <color theme="1"/>
      <name val="Calibri"/>
      <family val="2"/>
      <charset val="204"/>
      <scheme val="minor"/>
    </font>
    <font>
      <i/>
      <sz val="16"/>
      <name val="ISOCPEUR"/>
      <family val="2"/>
      <charset val="204"/>
    </font>
    <font>
      <i/>
      <sz val="14"/>
      <name val="ISOCPEUR"/>
      <family val="2"/>
      <charset val="204"/>
    </font>
    <font>
      <i/>
      <sz val="14"/>
      <color theme="1"/>
      <name val="ISOCPEUR"/>
      <family val="2"/>
      <charset val="204"/>
    </font>
    <font>
      <u/>
      <sz val="11"/>
      <color theme="10"/>
      <name val="Calibri"/>
      <family val="2"/>
      <charset val="204"/>
      <scheme val="minor"/>
    </font>
    <font>
      <b/>
      <i/>
      <sz val="20"/>
      <color rgb="FFFF0000"/>
      <name val="ISOCPEUR"/>
      <family val="2"/>
      <charset val="204"/>
    </font>
    <font>
      <i/>
      <sz val="14"/>
      <color theme="1"/>
      <name val="Calibri"/>
      <family val="2"/>
      <charset val="204"/>
      <scheme val="minor"/>
    </font>
    <font>
      <i/>
      <sz val="16"/>
      <color theme="1"/>
      <name val="ISOCPEUR"/>
      <family val="2"/>
      <charset val="204"/>
    </font>
    <font>
      <sz val="14"/>
      <color theme="1"/>
      <name val="Calibri"/>
      <family val="2"/>
      <charset val="204"/>
      <scheme val="minor"/>
    </font>
    <font>
      <i/>
      <sz val="13"/>
      <color theme="1"/>
      <name val="ISOCPEUR"/>
      <family val="2"/>
      <charset val="204"/>
    </font>
    <font>
      <i/>
      <sz val="15"/>
      <color theme="1"/>
      <name val="ISOCPEUR"/>
      <family val="2"/>
      <charset val="204"/>
    </font>
    <font>
      <sz val="18"/>
      <color theme="1"/>
      <name val="Times New Roman"/>
      <family val="1"/>
      <charset val="204"/>
    </font>
    <font>
      <sz val="18"/>
      <name val="Times New Roman"/>
      <family val="1"/>
      <charset val="204"/>
    </font>
    <font>
      <sz val="16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b/>
      <sz val="20"/>
      <color theme="1"/>
      <name val="Times New Roman"/>
      <family val="1"/>
      <charset val="204"/>
    </font>
    <font>
      <b/>
      <sz val="18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i/>
      <sz val="18"/>
      <name val="Times New Roman"/>
      <family val="1"/>
      <charset val="204"/>
    </font>
    <font>
      <b/>
      <i/>
      <sz val="22"/>
      <name val="Times New Roman"/>
      <family val="1"/>
      <charset val="204"/>
    </font>
    <font>
      <i/>
      <sz val="16"/>
      <name val="Times New Roman"/>
      <family val="1"/>
      <charset val="204"/>
    </font>
    <font>
      <i/>
      <sz val="18"/>
      <name val="Times New Roman"/>
      <family val="1"/>
      <charset val="204"/>
    </font>
    <font>
      <i/>
      <sz val="16"/>
      <color theme="1"/>
      <name val="Times New Roman"/>
      <family val="1"/>
      <charset val="204"/>
    </font>
    <font>
      <i/>
      <sz val="14"/>
      <name val="Times New Roman"/>
      <family val="1"/>
      <charset val="204"/>
    </font>
    <font>
      <i/>
      <sz val="14"/>
      <color theme="1"/>
      <name val="Times New Roman"/>
      <family val="1"/>
      <charset val="204"/>
    </font>
    <font>
      <sz val="16"/>
      <name val="Times New Roman"/>
      <family val="1"/>
      <charset val="204"/>
    </font>
    <font>
      <b/>
      <i/>
      <sz val="16"/>
      <name val="Times New Roman"/>
      <family val="1"/>
      <charset val="204"/>
    </font>
    <font>
      <u/>
      <sz val="16"/>
      <name val="Times New Roman"/>
      <family val="1"/>
      <charset val="204"/>
    </font>
    <font>
      <b/>
      <i/>
      <sz val="16"/>
      <color theme="1"/>
      <name val="Times New Roman"/>
      <family val="1"/>
      <charset val="204"/>
    </font>
    <font>
      <b/>
      <u/>
      <sz val="16"/>
      <color theme="10"/>
      <name val="Times New Roman"/>
      <family val="1"/>
      <charset val="204"/>
    </font>
    <font>
      <b/>
      <sz val="16"/>
      <color theme="1"/>
      <name val="Times New Roman"/>
      <family val="1"/>
      <charset val="204"/>
    </font>
    <font>
      <u/>
      <sz val="16"/>
      <color theme="10"/>
      <name val="Times New Roman"/>
      <family val="1"/>
      <charset val="204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16">
    <xf numFmtId="0" fontId="0" fillId="0" borderId="0" xfId="0"/>
    <xf numFmtId="0" fontId="2" fillId="0" borderId="2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2" fillId="0" borderId="2" xfId="0" applyFont="1" applyBorder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4" fillId="0" borderId="0" xfId="1"/>
    <xf numFmtId="0" fontId="2" fillId="2" borderId="2" xfId="0" applyFont="1" applyFill="1" applyBorder="1" applyAlignment="1">
      <alignment horizontal="center" vertical="center" wrapText="1"/>
    </xf>
    <xf numFmtId="0" fontId="5" fillId="2" borderId="2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vertical="center" wrapText="1"/>
    </xf>
    <xf numFmtId="0" fontId="6" fillId="0" borderId="0" xfId="0" applyFont="1" applyAlignment="1">
      <alignment horizontal="center"/>
    </xf>
    <xf numFmtId="0" fontId="7" fillId="3" borderId="2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/>
    </xf>
    <xf numFmtId="0" fontId="3" fillId="3" borderId="2" xfId="0" applyFont="1" applyFill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left" vertical="center" wrapText="1"/>
    </xf>
    <xf numFmtId="0" fontId="3" fillId="0" borderId="0" xfId="0" applyFont="1" applyAlignment="1">
      <alignment horizontal="center" vertical="center"/>
    </xf>
    <xf numFmtId="0" fontId="8" fillId="0" borderId="0" xfId="0" applyFont="1"/>
    <xf numFmtId="0" fontId="3" fillId="0" borderId="8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 wrapText="1"/>
    </xf>
    <xf numFmtId="0" fontId="3" fillId="0" borderId="2" xfId="0" applyFont="1" applyBorder="1" applyAlignment="1">
      <alignment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14" xfId="0" applyFont="1" applyBorder="1" applyAlignment="1">
      <alignment vertical="center"/>
    </xf>
    <xf numFmtId="0" fontId="2" fillId="0" borderId="14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 wrapText="1"/>
    </xf>
    <xf numFmtId="0" fontId="2" fillId="0" borderId="2" xfId="0" applyFont="1" applyBorder="1" applyAlignment="1">
      <alignment vertical="center"/>
    </xf>
    <xf numFmtId="0" fontId="2" fillId="0" borderId="17" xfId="0" applyFont="1" applyBorder="1" applyAlignment="1">
      <alignment horizontal="center" vertical="center" wrapText="1"/>
    </xf>
    <xf numFmtId="0" fontId="2" fillId="0" borderId="18" xfId="0" applyFont="1" applyBorder="1" applyAlignment="1">
      <alignment horizontal="center" vertical="center" wrapText="1"/>
    </xf>
    <xf numFmtId="0" fontId="2" fillId="0" borderId="19" xfId="0" applyFont="1" applyBorder="1" applyAlignment="1">
      <alignment vertical="center" wrapText="1"/>
    </xf>
    <xf numFmtId="0" fontId="2" fillId="0" borderId="19" xfId="0" applyFont="1" applyBorder="1" applyAlignment="1">
      <alignment horizontal="center" vertical="center" wrapText="1"/>
    </xf>
    <xf numFmtId="0" fontId="2" fillId="0" borderId="20" xfId="0" applyFont="1" applyBorder="1" applyAlignment="1">
      <alignment horizontal="center" vertical="center" wrapText="1"/>
    </xf>
    <xf numFmtId="0" fontId="3" fillId="2" borderId="0" xfId="0" applyFont="1" applyFill="1" applyAlignment="1">
      <alignment horizontal="center" vertical="center" wrapText="1"/>
    </xf>
    <xf numFmtId="0" fontId="11" fillId="0" borderId="0" xfId="0" applyFont="1"/>
    <xf numFmtId="0" fontId="13" fillId="0" borderId="0" xfId="0" applyFont="1" applyAlignment="1">
      <alignment horizontal="center"/>
    </xf>
    <xf numFmtId="0" fontId="14" fillId="0" borderId="0" xfId="0" applyFont="1" applyAlignment="1">
      <alignment horizontal="center" vertical="center"/>
    </xf>
    <xf numFmtId="0" fontId="17" fillId="0" borderId="0" xfId="0" applyFont="1"/>
    <xf numFmtId="0" fontId="18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13" fillId="5" borderId="14" xfId="0" applyFont="1" applyFill="1" applyBorder="1" applyAlignment="1">
      <alignment horizontal="center" vertical="center" wrapText="1"/>
    </xf>
    <xf numFmtId="0" fontId="23" fillId="0" borderId="2" xfId="0" applyFont="1" applyBorder="1" applyAlignment="1">
      <alignment horizontal="center" vertical="center" wrapText="1"/>
    </xf>
    <xf numFmtId="0" fontId="23" fillId="0" borderId="2" xfId="0" applyFont="1" applyBorder="1" applyAlignment="1">
      <alignment vertical="center" wrapText="1"/>
    </xf>
    <xf numFmtId="0" fontId="24" fillId="0" borderId="2" xfId="0" applyFont="1" applyBorder="1" applyAlignment="1">
      <alignment horizontal="center" vertical="center" wrapText="1"/>
    </xf>
    <xf numFmtId="0" fontId="25" fillId="0" borderId="2" xfId="1" applyFont="1" applyBorder="1" applyAlignment="1">
      <alignment horizontal="center" vertical="center"/>
    </xf>
    <xf numFmtId="0" fontId="25" fillId="0" borderId="2" xfId="0" applyFont="1" applyBorder="1" applyAlignment="1">
      <alignment horizontal="center" vertical="center"/>
    </xf>
    <xf numFmtId="0" fontId="13" fillId="2" borderId="2" xfId="0" applyFont="1" applyFill="1" applyBorder="1" applyAlignment="1">
      <alignment horizontal="center" vertical="center" wrapText="1"/>
    </xf>
    <xf numFmtId="0" fontId="17" fillId="0" borderId="2" xfId="0" applyFont="1" applyBorder="1" applyAlignment="1">
      <alignment wrapText="1"/>
    </xf>
    <xf numFmtId="0" fontId="26" fillId="0" borderId="2" xfId="0" applyFont="1" applyBorder="1" applyAlignment="1">
      <alignment vertical="center" wrapText="1"/>
    </xf>
    <xf numFmtId="0" fontId="27" fillId="0" borderId="2" xfId="1" applyFont="1" applyBorder="1" applyAlignment="1">
      <alignment horizontal="center" vertical="center"/>
    </xf>
    <xf numFmtId="0" fontId="21" fillId="0" borderId="8" xfId="0" applyFont="1" applyBorder="1" applyAlignment="1">
      <alignment horizontal="center" vertical="center" wrapText="1"/>
    </xf>
    <xf numFmtId="0" fontId="23" fillId="0" borderId="8" xfId="0" applyFont="1" applyBorder="1" applyAlignment="1">
      <alignment horizontal="center" vertical="center" wrapText="1"/>
    </xf>
    <xf numFmtId="0" fontId="23" fillId="0" borderId="8" xfId="0" applyFont="1" applyBorder="1" applyAlignment="1">
      <alignment vertical="center" wrapText="1"/>
    </xf>
    <xf numFmtId="0" fontId="24" fillId="0" borderId="8" xfId="0" applyFont="1" applyBorder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31" fillId="0" borderId="0" xfId="1" applyFont="1" applyAlignment="1">
      <alignment horizontal="center"/>
    </xf>
    <xf numFmtId="0" fontId="13" fillId="0" borderId="2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/>
    </xf>
    <xf numFmtId="0" fontId="21" fillId="5" borderId="2" xfId="0" applyFont="1" applyFill="1" applyBorder="1" applyAlignment="1">
      <alignment horizontal="center" vertical="center" wrapText="1"/>
    </xf>
    <xf numFmtId="0" fontId="20" fillId="5" borderId="2" xfId="0" applyFont="1" applyFill="1" applyBorder="1" applyAlignment="1">
      <alignment horizontal="center" vertical="center" wrapText="1"/>
    </xf>
    <xf numFmtId="0" fontId="22" fillId="5" borderId="2" xfId="0" applyFont="1" applyFill="1" applyBorder="1" applyAlignment="1">
      <alignment horizontal="center" vertical="center" wrapText="1"/>
    </xf>
    <xf numFmtId="0" fontId="13" fillId="5" borderId="2" xfId="0" applyFont="1" applyFill="1" applyBorder="1" applyAlignment="1">
      <alignment horizontal="center" vertical="center" wrapText="1"/>
    </xf>
    <xf numFmtId="0" fontId="21" fillId="0" borderId="2" xfId="0" applyFont="1" applyBorder="1" applyAlignment="1">
      <alignment horizontal="center" vertical="center"/>
    </xf>
    <xf numFmtId="0" fontId="23" fillId="0" borderId="2" xfId="0" applyFont="1" applyBorder="1" applyAlignment="1">
      <alignment horizontal="center" vertical="center"/>
    </xf>
    <xf numFmtId="0" fontId="17" fillId="0" borderId="2" xfId="0" applyFont="1" applyBorder="1"/>
    <xf numFmtId="0" fontId="21" fillId="0" borderId="2" xfId="0" applyFont="1" applyBorder="1" applyAlignment="1">
      <alignment horizontal="center" vertical="center" wrapText="1"/>
    </xf>
    <xf numFmtId="0" fontId="18" fillId="5" borderId="2" xfId="0" applyFont="1" applyFill="1" applyBorder="1" applyAlignment="1">
      <alignment horizontal="center" vertical="center" wrapText="1"/>
    </xf>
    <xf numFmtId="0" fontId="26" fillId="5" borderId="2" xfId="0" applyFont="1" applyFill="1" applyBorder="1" applyAlignment="1">
      <alignment horizontal="center" vertical="center" wrapText="1"/>
    </xf>
    <xf numFmtId="0" fontId="26" fillId="5" borderId="2" xfId="0" applyFont="1" applyFill="1" applyBorder="1" applyAlignment="1">
      <alignment vertical="center" wrapText="1"/>
    </xf>
    <xf numFmtId="0" fontId="28" fillId="5" borderId="2" xfId="0" applyFont="1" applyFill="1" applyBorder="1" applyAlignment="1">
      <alignment horizontal="center" vertical="center" wrapText="1"/>
    </xf>
    <xf numFmtId="0" fontId="29" fillId="5" borderId="2" xfId="1" applyFont="1" applyFill="1" applyBorder="1" applyAlignment="1">
      <alignment horizontal="center"/>
    </xf>
    <xf numFmtId="0" fontId="19" fillId="0" borderId="0" xfId="0" applyFont="1" applyAlignment="1">
      <alignment horizontal="center" wrapText="1"/>
    </xf>
    <xf numFmtId="0" fontId="17" fillId="0" borderId="0" xfId="0" applyFont="1" applyAlignment="1">
      <alignment wrapText="1"/>
    </xf>
    <xf numFmtId="0" fontId="19" fillId="0" borderId="0" xfId="0" applyFont="1" applyAlignment="1">
      <alignment horizontal="left" wrapText="1"/>
    </xf>
    <xf numFmtId="0" fontId="23" fillId="0" borderId="2" xfId="0" applyFont="1" applyBorder="1" applyAlignment="1">
      <alignment horizontal="left" vertical="center" wrapText="1"/>
    </xf>
    <xf numFmtId="0" fontId="26" fillId="5" borderId="2" xfId="0" applyFont="1" applyFill="1" applyBorder="1" applyAlignment="1">
      <alignment horizontal="left" vertical="center" wrapText="1"/>
    </xf>
    <xf numFmtId="0" fontId="23" fillId="0" borderId="8" xfId="0" applyFont="1" applyBorder="1" applyAlignment="1">
      <alignment horizontal="left" vertical="center" wrapText="1"/>
    </xf>
    <xf numFmtId="0" fontId="17" fillId="0" borderId="0" xfId="0" applyFont="1" applyAlignment="1">
      <alignment horizontal="left" wrapText="1"/>
    </xf>
    <xf numFmtId="14" fontId="16" fillId="4" borderId="0" xfId="0" applyNumberFormat="1" applyFont="1" applyFill="1" applyAlignment="1">
      <alignment horizontal="center"/>
    </xf>
    <xf numFmtId="0" fontId="25" fillId="0" borderId="2" xfId="0" applyFont="1" applyBorder="1" applyAlignment="1">
      <alignment horizontal="center" vertical="center" wrapText="1"/>
    </xf>
    <xf numFmtId="0" fontId="30" fillId="5" borderId="2" xfId="0" applyFont="1" applyFill="1" applyBorder="1" applyAlignment="1">
      <alignment horizontal="center" vertical="center"/>
    </xf>
    <xf numFmtId="0" fontId="20" fillId="5" borderId="21" xfId="0" applyFont="1" applyFill="1" applyBorder="1" applyAlignment="1">
      <alignment horizontal="center"/>
    </xf>
    <xf numFmtId="0" fontId="20" fillId="5" borderId="0" xfId="0" applyFont="1" applyFill="1" applyAlignment="1">
      <alignment horizontal="center"/>
    </xf>
    <xf numFmtId="0" fontId="12" fillId="0" borderId="0" xfId="0" applyFont="1" applyAlignment="1">
      <alignment horizontal="left" vertical="center" wrapText="1"/>
    </xf>
    <xf numFmtId="0" fontId="11" fillId="0" borderId="0" xfId="0" applyFont="1" applyAlignment="1">
      <alignment horizontal="left" vertical="center" wrapText="1"/>
    </xf>
    <xf numFmtId="0" fontId="15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7" fillId="0" borderId="4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 wrapText="1"/>
    </xf>
    <xf numFmtId="0" fontId="21" fillId="0" borderId="7" xfId="0" applyFont="1" applyBorder="1" applyAlignment="1">
      <alignment horizontal="center" vertical="center"/>
    </xf>
    <xf numFmtId="0" fontId="23" fillId="0" borderId="7" xfId="0" applyFont="1" applyBorder="1" applyAlignment="1">
      <alignment horizontal="center" vertical="center" wrapText="1"/>
    </xf>
    <xf numFmtId="0" fontId="23" fillId="0" borderId="7" xfId="0" applyFont="1" applyBorder="1" applyAlignment="1">
      <alignment horizontal="center" vertical="center"/>
    </xf>
    <xf numFmtId="0" fontId="23" fillId="0" borderId="7" xfId="0" applyFont="1" applyBorder="1" applyAlignment="1">
      <alignment vertical="center" wrapText="1"/>
    </xf>
    <xf numFmtId="0" fontId="23" fillId="0" borderId="7" xfId="0" applyFont="1" applyBorder="1" applyAlignment="1">
      <alignment horizontal="left" vertical="center" wrapText="1"/>
    </xf>
    <xf numFmtId="0" fontId="24" fillId="0" borderId="7" xfId="0" applyFont="1" applyBorder="1" applyAlignment="1">
      <alignment horizontal="center" vertical="center" wrapText="1"/>
    </xf>
    <xf numFmtId="0" fontId="25" fillId="0" borderId="7" xfId="0" applyFont="1" applyBorder="1" applyAlignment="1">
      <alignment horizontal="center" vertical="center"/>
    </xf>
    <xf numFmtId="0" fontId="25" fillId="0" borderId="7" xfId="1" applyFont="1" applyBorder="1" applyAlignment="1">
      <alignment horizontal="center" vertical="center"/>
    </xf>
    <xf numFmtId="0" fontId="17" fillId="0" borderId="7" xfId="0" applyFont="1" applyBorder="1" applyAlignment="1"/>
  </cellXfs>
  <cellStyles count="2">
    <cellStyle name="Гиперссылка" xfId="1" builtinId="8"/>
    <cellStyle name="Обычный" xfId="0" builtinId="0"/>
  </cellStyles>
  <dxfs count="1">
    <dxf>
      <numFmt numFmtId="0" formatCode="General"/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909B5.A1C4CC60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23813</xdr:colOff>
      <xdr:row>0</xdr:row>
      <xdr:rowOff>428625</xdr:rowOff>
    </xdr:from>
    <xdr:to>
      <xdr:col>1</xdr:col>
      <xdr:colOff>1138238</xdr:colOff>
      <xdr:row>0</xdr:row>
      <xdr:rowOff>852488</xdr:rowOff>
    </xdr:to>
    <xdr:pic>
      <xdr:nvPicPr>
        <xdr:cNvPr id="4" name="Рисунок 1" descr="cid:image001.png@01D2D493.7ACD1F70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3" y="428625"/>
          <a:ext cx="1828800" cy="4238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Q27"/>
  <sheetViews>
    <sheetView tabSelected="1" view="pageBreakPreview" zoomScale="70" zoomScaleNormal="40" zoomScaleSheetLayoutView="70" workbookViewId="0">
      <selection activeCell="M7" sqref="M7"/>
    </sheetView>
  </sheetViews>
  <sheetFormatPr defaultRowHeight="23.25"/>
  <cols>
    <col min="1" max="1" width="13.140625" style="42" customWidth="1"/>
    <col min="2" max="3" width="25.7109375" style="45" customWidth="1"/>
    <col min="4" max="4" width="20.7109375" style="45" customWidth="1"/>
    <col min="5" max="5" width="23.5703125" style="45" customWidth="1"/>
    <col min="6" max="6" width="55.140625" style="45" customWidth="1"/>
    <col min="7" max="7" width="15.5703125" style="85" customWidth="1"/>
    <col min="8" max="8" width="20.5703125" style="80" customWidth="1"/>
    <col min="9" max="9" width="24.140625" style="43" customWidth="1"/>
    <col min="10" max="10" width="16.7109375" style="43" customWidth="1"/>
    <col min="11" max="11" width="18.42578125" style="65" customWidth="1"/>
    <col min="12" max="12" width="11.7109375" style="43" customWidth="1"/>
    <col min="13" max="13" width="28.42578125" style="44" customWidth="1"/>
    <col min="14" max="14" width="28.140625" style="44" customWidth="1"/>
    <col min="15" max="15" width="25.28515625" style="44" customWidth="1"/>
    <col min="16" max="16" width="27" style="45" customWidth="1"/>
    <col min="17" max="17" width="25.28515625" style="45" customWidth="1"/>
    <col min="18" max="16384" width="9.140625" style="45"/>
  </cols>
  <sheetData>
    <row r="1" spans="1:17" s="42" customFormat="1" ht="105" customHeight="1">
      <c r="C1" s="91" t="s">
        <v>129</v>
      </c>
      <c r="D1" s="91"/>
      <c r="E1" s="92" t="s">
        <v>130</v>
      </c>
      <c r="F1" s="92"/>
      <c r="G1" s="92"/>
      <c r="H1" s="92"/>
      <c r="I1" s="43"/>
      <c r="J1" s="43"/>
      <c r="K1" s="65"/>
      <c r="L1" s="43"/>
      <c r="M1" s="44"/>
      <c r="N1" s="44"/>
      <c r="O1" s="44"/>
    </row>
    <row r="2" spans="1:17" s="42" customFormat="1" ht="39.75" customHeight="1" thickBot="1">
      <c r="C2" s="91" t="s">
        <v>131</v>
      </c>
      <c r="D2" s="91"/>
      <c r="E2" s="92" t="s">
        <v>132</v>
      </c>
      <c r="F2" s="92"/>
      <c r="G2" s="92"/>
      <c r="H2" s="92"/>
      <c r="I2" s="43"/>
      <c r="J2" s="43"/>
      <c r="K2" s="65"/>
      <c r="L2" s="43"/>
      <c r="M2" s="44"/>
      <c r="N2" s="44"/>
      <c r="O2" s="44"/>
    </row>
    <row r="3" spans="1:17" ht="26.25" customHeight="1">
      <c r="A3" s="93" t="s">
        <v>135</v>
      </c>
      <c r="B3" s="93"/>
      <c r="C3" s="93"/>
      <c r="D3" s="93"/>
      <c r="E3" s="93"/>
      <c r="F3" s="93"/>
      <c r="G3" s="93"/>
      <c r="H3" s="93"/>
      <c r="I3" s="48" t="s">
        <v>134</v>
      </c>
    </row>
    <row r="4" spans="1:17" ht="27">
      <c r="A4" s="46"/>
      <c r="B4" s="47"/>
      <c r="C4" s="47"/>
      <c r="D4" s="47"/>
      <c r="E4" s="47"/>
      <c r="F4" s="47"/>
      <c r="G4" s="81"/>
      <c r="H4" s="79"/>
      <c r="I4" s="86">
        <v>44902</v>
      </c>
    </row>
    <row r="5" spans="1:17" ht="20.25">
      <c r="A5" s="89" t="s">
        <v>133</v>
      </c>
      <c r="B5" s="90"/>
      <c r="C5" s="90"/>
      <c r="D5" s="90"/>
      <c r="E5" s="90"/>
      <c r="F5" s="90"/>
      <c r="G5" s="90"/>
      <c r="H5" s="90"/>
      <c r="I5" s="44"/>
      <c r="J5" s="44"/>
      <c r="K5" s="44"/>
      <c r="L5" s="44"/>
    </row>
    <row r="6" spans="1:17" s="65" customFormat="1" ht="81">
      <c r="A6" s="66" t="s">
        <v>1</v>
      </c>
      <c r="B6" s="67" t="s">
        <v>2</v>
      </c>
      <c r="C6" s="67" t="s">
        <v>3</v>
      </c>
      <c r="D6" s="67" t="s">
        <v>4</v>
      </c>
      <c r="E6" s="67" t="s">
        <v>5</v>
      </c>
      <c r="F6" s="67" t="s">
        <v>7</v>
      </c>
      <c r="G6" s="67" t="s">
        <v>9</v>
      </c>
      <c r="H6" s="68" t="s">
        <v>10</v>
      </c>
      <c r="I6" s="69" t="s">
        <v>11</v>
      </c>
      <c r="J6" s="69" t="s">
        <v>12</v>
      </c>
      <c r="K6" s="69" t="s">
        <v>13</v>
      </c>
      <c r="L6" s="69" t="s">
        <v>6</v>
      </c>
      <c r="M6" s="69" t="s">
        <v>136</v>
      </c>
      <c r="N6" s="69" t="s">
        <v>137</v>
      </c>
      <c r="O6" s="69" t="s">
        <v>138</v>
      </c>
      <c r="P6" s="64" t="s">
        <v>139</v>
      </c>
      <c r="Q6" s="64" t="s">
        <v>140</v>
      </c>
    </row>
    <row r="7" spans="1:17" ht="93.75">
      <c r="A7" s="107" t="s">
        <v>14</v>
      </c>
      <c r="B7" s="108" t="s">
        <v>15</v>
      </c>
      <c r="C7" s="109" t="s">
        <v>16</v>
      </c>
      <c r="D7" s="109" t="s">
        <v>17</v>
      </c>
      <c r="E7" s="109" t="s">
        <v>18</v>
      </c>
      <c r="F7" s="110" t="s">
        <v>19</v>
      </c>
      <c r="G7" s="111"/>
      <c r="H7" s="112" t="s">
        <v>20</v>
      </c>
      <c r="I7" s="113"/>
      <c r="J7" s="114">
        <v>60</v>
      </c>
      <c r="K7" s="113" t="s">
        <v>127</v>
      </c>
      <c r="L7" s="113"/>
      <c r="M7" s="54"/>
      <c r="N7" s="54"/>
      <c r="O7" s="54"/>
      <c r="P7" s="115"/>
      <c r="Q7" s="115"/>
    </row>
    <row r="8" spans="1:17" ht="93.75">
      <c r="A8" s="70" t="s">
        <v>14</v>
      </c>
      <c r="B8" s="49" t="s">
        <v>15</v>
      </c>
      <c r="C8" s="71" t="s">
        <v>16</v>
      </c>
      <c r="D8" s="71" t="s">
        <v>17</v>
      </c>
      <c r="E8" s="71" t="s">
        <v>18</v>
      </c>
      <c r="F8" s="50" t="s">
        <v>19</v>
      </c>
      <c r="G8" s="82"/>
      <c r="H8" s="51"/>
      <c r="I8" s="53"/>
      <c r="J8" s="52">
        <v>40</v>
      </c>
      <c r="K8" s="53" t="s">
        <v>128</v>
      </c>
      <c r="L8" s="53"/>
      <c r="M8" s="54"/>
      <c r="N8" s="54"/>
      <c r="O8" s="54"/>
      <c r="P8" s="72"/>
      <c r="Q8" s="72"/>
    </row>
    <row r="9" spans="1:17" ht="93.75">
      <c r="A9" s="70" t="s">
        <v>21</v>
      </c>
      <c r="B9" s="49" t="s">
        <v>15</v>
      </c>
      <c r="C9" s="71" t="s">
        <v>22</v>
      </c>
      <c r="D9" s="71" t="s">
        <v>17</v>
      </c>
      <c r="E9" s="71" t="s">
        <v>18</v>
      </c>
      <c r="F9" s="50" t="s">
        <v>23</v>
      </c>
      <c r="G9" s="82"/>
      <c r="H9" s="51" t="s">
        <v>20</v>
      </c>
      <c r="I9" s="53"/>
      <c r="J9" s="52">
        <v>60</v>
      </c>
      <c r="K9" s="53" t="s">
        <v>127</v>
      </c>
      <c r="L9" s="53"/>
      <c r="M9" s="54"/>
      <c r="N9" s="54"/>
      <c r="O9" s="54"/>
      <c r="P9" s="72"/>
      <c r="Q9" s="72"/>
    </row>
    <row r="10" spans="1:17" ht="93.75">
      <c r="A10" s="70" t="s">
        <v>21</v>
      </c>
      <c r="B10" s="49" t="s">
        <v>15</v>
      </c>
      <c r="C10" s="71" t="s">
        <v>22</v>
      </c>
      <c r="D10" s="71" t="s">
        <v>17</v>
      </c>
      <c r="E10" s="71" t="s">
        <v>18</v>
      </c>
      <c r="F10" s="50" t="s">
        <v>23</v>
      </c>
      <c r="G10" s="82"/>
      <c r="H10" s="51" t="s">
        <v>20</v>
      </c>
      <c r="I10" s="53"/>
      <c r="J10" s="52">
        <v>40</v>
      </c>
      <c r="K10" s="53" t="s">
        <v>128</v>
      </c>
      <c r="L10" s="53"/>
      <c r="M10" s="54"/>
      <c r="N10" s="54"/>
      <c r="O10" s="54"/>
      <c r="P10" s="72"/>
      <c r="Q10" s="72"/>
    </row>
    <row r="11" spans="1:17" ht="93.75">
      <c r="A11" s="70" t="s">
        <v>24</v>
      </c>
      <c r="B11" s="49" t="s">
        <v>15</v>
      </c>
      <c r="C11" s="71" t="s">
        <v>25</v>
      </c>
      <c r="D11" s="71" t="s">
        <v>26</v>
      </c>
      <c r="E11" s="71" t="s">
        <v>27</v>
      </c>
      <c r="F11" s="50" t="s">
        <v>19</v>
      </c>
      <c r="G11" s="82"/>
      <c r="H11" s="51" t="s">
        <v>20</v>
      </c>
      <c r="I11" s="53"/>
      <c r="J11" s="52">
        <v>60</v>
      </c>
      <c r="K11" s="53" t="s">
        <v>127</v>
      </c>
      <c r="L11" s="53"/>
      <c r="M11" s="54"/>
      <c r="N11" s="54"/>
      <c r="O11" s="54"/>
      <c r="P11" s="72"/>
      <c r="Q11" s="72"/>
    </row>
    <row r="12" spans="1:17" ht="93.75">
      <c r="A12" s="70" t="s">
        <v>28</v>
      </c>
      <c r="B12" s="49" t="s">
        <v>15</v>
      </c>
      <c r="C12" s="71" t="s">
        <v>29</v>
      </c>
      <c r="D12" s="71" t="s">
        <v>26</v>
      </c>
      <c r="E12" s="71" t="s">
        <v>27</v>
      </c>
      <c r="F12" s="50" t="s">
        <v>23</v>
      </c>
      <c r="G12" s="82"/>
      <c r="H12" s="51" t="s">
        <v>20</v>
      </c>
      <c r="I12" s="53"/>
      <c r="J12" s="52">
        <v>60</v>
      </c>
      <c r="K12" s="53" t="s">
        <v>127</v>
      </c>
      <c r="L12" s="53"/>
      <c r="M12" s="54"/>
      <c r="N12" s="54"/>
      <c r="O12" s="54"/>
      <c r="P12" s="72"/>
      <c r="Q12" s="72"/>
    </row>
    <row r="13" spans="1:17" ht="93.75">
      <c r="A13" s="70" t="s">
        <v>30</v>
      </c>
      <c r="B13" s="49" t="s">
        <v>15</v>
      </c>
      <c r="C13" s="71" t="s">
        <v>25</v>
      </c>
      <c r="D13" s="71" t="s">
        <v>26</v>
      </c>
      <c r="E13" s="71" t="s">
        <v>27</v>
      </c>
      <c r="F13" s="50" t="s">
        <v>19</v>
      </c>
      <c r="G13" s="82"/>
      <c r="H13" s="51" t="s">
        <v>31</v>
      </c>
      <c r="I13" s="53"/>
      <c r="J13" s="52">
        <v>60</v>
      </c>
      <c r="K13" s="53" t="s">
        <v>127</v>
      </c>
      <c r="L13" s="53"/>
      <c r="M13" s="54"/>
      <c r="N13" s="54"/>
      <c r="O13" s="54"/>
      <c r="P13" s="72"/>
      <c r="Q13" s="72"/>
    </row>
    <row r="14" spans="1:17" ht="93.75">
      <c r="A14" s="107" t="s">
        <v>30</v>
      </c>
      <c r="B14" s="108" t="s">
        <v>15</v>
      </c>
      <c r="C14" s="109" t="s">
        <v>25</v>
      </c>
      <c r="D14" s="109" t="s">
        <v>26</v>
      </c>
      <c r="E14" s="109" t="s">
        <v>27</v>
      </c>
      <c r="F14" s="110" t="s">
        <v>19</v>
      </c>
      <c r="G14" s="111"/>
      <c r="H14" s="112" t="s">
        <v>31</v>
      </c>
      <c r="I14" s="113" t="s">
        <v>35</v>
      </c>
      <c r="J14" s="114">
        <v>40</v>
      </c>
      <c r="K14" s="113" t="s">
        <v>127</v>
      </c>
      <c r="L14" s="113"/>
      <c r="M14" s="54"/>
      <c r="N14" s="54"/>
      <c r="O14" s="54"/>
      <c r="P14" s="115"/>
      <c r="Q14" s="115"/>
    </row>
    <row r="15" spans="1:17" ht="93.75">
      <c r="A15" s="70" t="s">
        <v>33</v>
      </c>
      <c r="B15" s="49" t="s">
        <v>15</v>
      </c>
      <c r="C15" s="71" t="s">
        <v>29</v>
      </c>
      <c r="D15" s="71" t="s">
        <v>26</v>
      </c>
      <c r="E15" s="71" t="s">
        <v>27</v>
      </c>
      <c r="F15" s="50" t="s">
        <v>23</v>
      </c>
      <c r="G15" s="82"/>
      <c r="H15" s="51" t="s">
        <v>34</v>
      </c>
      <c r="I15" s="53" t="s">
        <v>35</v>
      </c>
      <c r="J15" s="52">
        <v>40</v>
      </c>
      <c r="K15" s="53" t="s">
        <v>128</v>
      </c>
      <c r="L15" s="53"/>
      <c r="M15" s="54"/>
      <c r="N15" s="54"/>
      <c r="O15" s="54"/>
      <c r="P15" s="72"/>
      <c r="Q15" s="72"/>
    </row>
    <row r="16" spans="1:17" ht="93.75">
      <c r="A16" s="70" t="s">
        <v>33</v>
      </c>
      <c r="B16" s="49" t="s">
        <v>15</v>
      </c>
      <c r="C16" s="71" t="s">
        <v>29</v>
      </c>
      <c r="D16" s="71" t="s">
        <v>26</v>
      </c>
      <c r="E16" s="71" t="s">
        <v>27</v>
      </c>
      <c r="F16" s="50" t="s">
        <v>23</v>
      </c>
      <c r="G16" s="82"/>
      <c r="H16" s="51" t="s">
        <v>34</v>
      </c>
      <c r="I16" s="53"/>
      <c r="J16" s="52">
        <v>40</v>
      </c>
      <c r="K16" s="53" t="s">
        <v>128</v>
      </c>
      <c r="L16" s="53"/>
      <c r="M16" s="54"/>
      <c r="N16" s="54"/>
      <c r="O16" s="54"/>
      <c r="P16" s="72"/>
      <c r="Q16" s="72"/>
    </row>
    <row r="17" spans="1:17" ht="112.5">
      <c r="A17" s="70" t="s">
        <v>36</v>
      </c>
      <c r="B17" s="49" t="s">
        <v>15</v>
      </c>
      <c r="C17" s="71" t="s">
        <v>37</v>
      </c>
      <c r="D17" s="71" t="s">
        <v>38</v>
      </c>
      <c r="E17" s="71" t="s">
        <v>39</v>
      </c>
      <c r="F17" s="50" t="s">
        <v>19</v>
      </c>
      <c r="G17" s="82"/>
      <c r="H17" s="51" t="s">
        <v>40</v>
      </c>
      <c r="I17" s="53"/>
      <c r="J17" s="52">
        <v>60</v>
      </c>
      <c r="K17" s="53" t="s">
        <v>127</v>
      </c>
      <c r="L17" s="53"/>
      <c r="M17" s="54"/>
      <c r="N17" s="54"/>
      <c r="O17" s="54"/>
      <c r="P17" s="72"/>
      <c r="Q17" s="72"/>
    </row>
    <row r="18" spans="1:17" ht="112.5">
      <c r="A18" s="70" t="s">
        <v>36</v>
      </c>
      <c r="B18" s="49" t="s">
        <v>15</v>
      </c>
      <c r="C18" s="71" t="s">
        <v>37</v>
      </c>
      <c r="D18" s="71" t="s">
        <v>38</v>
      </c>
      <c r="E18" s="71" t="s">
        <v>39</v>
      </c>
      <c r="F18" s="50" t="s">
        <v>19</v>
      </c>
      <c r="G18" s="82"/>
      <c r="H18" s="51" t="s">
        <v>40</v>
      </c>
      <c r="I18" s="53" t="s">
        <v>35</v>
      </c>
      <c r="J18" s="52">
        <v>60</v>
      </c>
      <c r="K18" s="53" t="s">
        <v>127</v>
      </c>
      <c r="L18" s="53"/>
      <c r="M18" s="54"/>
      <c r="N18" s="54"/>
      <c r="O18" s="54"/>
      <c r="P18" s="72"/>
      <c r="Q18" s="72"/>
    </row>
    <row r="19" spans="1:17" ht="112.5">
      <c r="A19" s="70" t="s">
        <v>36</v>
      </c>
      <c r="B19" s="49" t="s">
        <v>15</v>
      </c>
      <c r="C19" s="71" t="s">
        <v>37</v>
      </c>
      <c r="D19" s="71" t="s">
        <v>38</v>
      </c>
      <c r="E19" s="71" t="s">
        <v>39</v>
      </c>
      <c r="F19" s="50" t="s">
        <v>19</v>
      </c>
      <c r="G19" s="82"/>
      <c r="H19" s="51" t="s">
        <v>40</v>
      </c>
      <c r="I19" s="53" t="s">
        <v>35</v>
      </c>
      <c r="J19" s="52">
        <v>40</v>
      </c>
      <c r="K19" s="53" t="s">
        <v>128</v>
      </c>
      <c r="L19" s="53"/>
      <c r="M19" s="54"/>
      <c r="N19" s="54"/>
      <c r="O19" s="54"/>
      <c r="P19" s="72"/>
      <c r="Q19" s="72"/>
    </row>
    <row r="20" spans="1:17" ht="112.5">
      <c r="A20" s="70" t="s">
        <v>36</v>
      </c>
      <c r="B20" s="49" t="s">
        <v>15</v>
      </c>
      <c r="C20" s="71" t="s">
        <v>37</v>
      </c>
      <c r="D20" s="71" t="s">
        <v>38</v>
      </c>
      <c r="E20" s="71" t="s">
        <v>39</v>
      </c>
      <c r="F20" s="50" t="s">
        <v>19</v>
      </c>
      <c r="G20" s="82"/>
      <c r="H20" s="51" t="s">
        <v>40</v>
      </c>
      <c r="I20" s="53"/>
      <c r="J20" s="52">
        <v>40</v>
      </c>
      <c r="K20" s="53" t="s">
        <v>128</v>
      </c>
      <c r="L20" s="53"/>
      <c r="M20" s="54"/>
      <c r="N20" s="54"/>
      <c r="O20" s="54"/>
      <c r="P20" s="72"/>
      <c r="Q20" s="72"/>
    </row>
    <row r="21" spans="1:17" ht="93.75">
      <c r="A21" s="70" t="s">
        <v>41</v>
      </c>
      <c r="B21" s="49" t="s">
        <v>15</v>
      </c>
      <c r="C21" s="71" t="s">
        <v>42</v>
      </c>
      <c r="D21" s="71" t="s">
        <v>38</v>
      </c>
      <c r="E21" s="71" t="s">
        <v>39</v>
      </c>
      <c r="F21" s="50" t="s">
        <v>23</v>
      </c>
      <c r="G21" s="82"/>
      <c r="H21" s="51" t="s">
        <v>43</v>
      </c>
      <c r="I21" s="53"/>
      <c r="J21" s="52">
        <v>60</v>
      </c>
      <c r="K21" s="53" t="s">
        <v>127</v>
      </c>
      <c r="L21" s="53"/>
      <c r="M21" s="54"/>
      <c r="N21" s="54"/>
      <c r="O21" s="54"/>
      <c r="P21" s="72"/>
      <c r="Q21" s="72"/>
    </row>
    <row r="22" spans="1:17" ht="93.75">
      <c r="A22" s="70" t="s">
        <v>41</v>
      </c>
      <c r="B22" s="49" t="s">
        <v>15</v>
      </c>
      <c r="C22" s="71" t="s">
        <v>42</v>
      </c>
      <c r="D22" s="71" t="s">
        <v>38</v>
      </c>
      <c r="E22" s="71" t="s">
        <v>39</v>
      </c>
      <c r="F22" s="50" t="s">
        <v>23</v>
      </c>
      <c r="G22" s="82"/>
      <c r="H22" s="51" t="s">
        <v>43</v>
      </c>
      <c r="I22" s="53" t="s">
        <v>35</v>
      </c>
      <c r="J22" s="52">
        <v>60</v>
      </c>
      <c r="K22" s="53" t="s">
        <v>127</v>
      </c>
      <c r="L22" s="53"/>
      <c r="M22" s="54"/>
      <c r="N22" s="54"/>
      <c r="O22" s="54"/>
      <c r="P22" s="72"/>
      <c r="Q22" s="72"/>
    </row>
    <row r="23" spans="1:17" ht="93.75">
      <c r="A23" s="70" t="s">
        <v>41</v>
      </c>
      <c r="B23" s="49" t="s">
        <v>15</v>
      </c>
      <c r="C23" s="71" t="s">
        <v>42</v>
      </c>
      <c r="D23" s="71" t="s">
        <v>38</v>
      </c>
      <c r="E23" s="71" t="s">
        <v>39</v>
      </c>
      <c r="F23" s="50" t="s">
        <v>23</v>
      </c>
      <c r="G23" s="82"/>
      <c r="H23" s="51" t="s">
        <v>43</v>
      </c>
      <c r="I23" s="53"/>
      <c r="J23" s="52">
        <v>40</v>
      </c>
      <c r="K23" s="53" t="s">
        <v>128</v>
      </c>
      <c r="L23" s="53"/>
      <c r="M23" s="54"/>
      <c r="N23" s="54"/>
      <c r="O23" s="54"/>
      <c r="P23" s="72"/>
      <c r="Q23" s="72"/>
    </row>
    <row r="24" spans="1:17" ht="131.25">
      <c r="A24" s="70" t="s">
        <v>45</v>
      </c>
      <c r="B24" s="49" t="s">
        <v>15</v>
      </c>
      <c r="C24" s="71" t="s">
        <v>46</v>
      </c>
      <c r="D24" s="71" t="s">
        <v>47</v>
      </c>
      <c r="E24" s="71" t="s">
        <v>48</v>
      </c>
      <c r="F24" s="50" t="s">
        <v>49</v>
      </c>
      <c r="G24" s="82"/>
      <c r="H24" s="51" t="s">
        <v>50</v>
      </c>
      <c r="I24" s="53" t="s">
        <v>35</v>
      </c>
      <c r="J24" s="52">
        <v>60</v>
      </c>
      <c r="K24" s="53" t="s">
        <v>127</v>
      </c>
      <c r="L24" s="53"/>
      <c r="M24" s="54"/>
      <c r="N24" s="54"/>
      <c r="O24" s="54"/>
      <c r="P24" s="72"/>
      <c r="Q24" s="72"/>
    </row>
    <row r="25" spans="1:17">
      <c r="A25" s="73"/>
      <c r="B25" s="49"/>
      <c r="C25" s="49"/>
      <c r="D25" s="49"/>
      <c r="E25" s="49"/>
      <c r="F25" s="56" t="s">
        <v>51</v>
      </c>
      <c r="G25" s="82"/>
      <c r="H25" s="51"/>
      <c r="I25" s="87"/>
      <c r="J25" s="57"/>
      <c r="K25" s="53"/>
      <c r="M25" s="65"/>
      <c r="N25" s="65"/>
      <c r="O25" s="65"/>
      <c r="P25" s="55"/>
      <c r="Q25" s="55"/>
    </row>
    <row r="26" spans="1:17" ht="51.75" customHeight="1">
      <c r="A26" s="74"/>
      <c r="B26" s="75"/>
      <c r="C26" s="75"/>
      <c r="D26" s="75"/>
      <c r="E26" s="75"/>
      <c r="F26" s="76" t="s">
        <v>52</v>
      </c>
      <c r="G26" s="83"/>
      <c r="H26" s="77"/>
      <c r="I26" s="77">
        <f>L23+L21+L17+L14</f>
        <v>0</v>
      </c>
      <c r="J26" s="78"/>
      <c r="K26" s="88"/>
      <c r="L26" s="88">
        <f>SUM(L7:L24)-L24</f>
        <v>0</v>
      </c>
      <c r="M26" s="88"/>
      <c r="N26" s="88"/>
      <c r="O26" s="88"/>
      <c r="P26" s="88"/>
      <c r="Q26" s="88"/>
    </row>
    <row r="27" spans="1:17" ht="36.75" customHeight="1">
      <c r="A27" s="58"/>
      <c r="B27" s="59"/>
      <c r="C27" s="59"/>
      <c r="D27" s="59"/>
      <c r="E27" s="59"/>
      <c r="F27" s="60"/>
      <c r="G27" s="84"/>
      <c r="H27" s="61"/>
      <c r="I27" s="62"/>
      <c r="J27" s="63"/>
    </row>
  </sheetData>
  <mergeCells count="6">
    <mergeCell ref="A5:H5"/>
    <mergeCell ref="C1:D1"/>
    <mergeCell ref="C2:D2"/>
    <mergeCell ref="E1:H1"/>
    <mergeCell ref="E2:H2"/>
    <mergeCell ref="A3:H3"/>
  </mergeCells>
  <conditionalFormatting sqref="M7:O24">
    <cfRule type="expression" dxfId="0" priority="1">
      <formula>M7=""</formula>
    </cfRule>
  </conditionalFormatting>
  <pageMargins left="0.7" right="0.7" top="0.75" bottom="0.75" header="0.3" footer="0.3"/>
  <pageSetup paperSize="9" scale="15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2:K81"/>
  <sheetViews>
    <sheetView zoomScale="80" zoomScaleNormal="80" workbookViewId="0">
      <selection activeCell="K13" sqref="K1:K1048576"/>
    </sheetView>
  </sheetViews>
  <sheetFormatPr defaultRowHeight="15"/>
  <cols>
    <col min="1" max="1" width="10.7109375" customWidth="1"/>
    <col min="2" max="3" width="25.7109375" customWidth="1"/>
    <col min="4" max="4" width="20.7109375" customWidth="1"/>
    <col min="5" max="5" width="23.5703125" customWidth="1"/>
    <col min="6" max="6" width="10.7109375" customWidth="1"/>
    <col min="7" max="7" width="48" customWidth="1"/>
    <col min="8" max="8" width="15.28515625" customWidth="1"/>
    <col min="9" max="9" width="15.5703125" customWidth="1"/>
    <col min="10" max="10" width="20.5703125" customWidth="1"/>
    <col min="11" max="11" width="32" customWidth="1"/>
  </cols>
  <sheetData>
    <row r="2" spans="1:11" ht="20.25">
      <c r="A2" s="95" t="s">
        <v>0</v>
      </c>
      <c r="B2" s="96"/>
      <c r="C2" s="96"/>
      <c r="D2" s="96"/>
      <c r="E2" s="96"/>
      <c r="F2" s="96"/>
      <c r="G2" s="96"/>
      <c r="H2" s="96"/>
      <c r="I2" s="96"/>
      <c r="J2" s="96"/>
    </row>
    <row r="3" spans="1:11" ht="75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8</v>
      </c>
      <c r="I3" s="1" t="s">
        <v>9</v>
      </c>
      <c r="J3" s="2" t="s">
        <v>10</v>
      </c>
      <c r="K3" s="3"/>
    </row>
    <row r="4" spans="1:11" ht="150">
      <c r="A4" s="1" t="s">
        <v>14</v>
      </c>
      <c r="B4" s="1" t="s">
        <v>15</v>
      </c>
      <c r="C4" s="1" t="s">
        <v>16</v>
      </c>
      <c r="D4" s="1" t="s">
        <v>17</v>
      </c>
      <c r="E4" s="1" t="s">
        <v>18</v>
      </c>
      <c r="F4" s="1">
        <v>3</v>
      </c>
      <c r="G4" s="4" t="s">
        <v>19</v>
      </c>
      <c r="H4" s="1">
        <f>F4</f>
        <v>3</v>
      </c>
      <c r="I4" s="1"/>
      <c r="J4" s="2" t="s">
        <v>20</v>
      </c>
      <c r="K4" s="5"/>
    </row>
    <row r="5" spans="1:11" ht="155.25" customHeight="1">
      <c r="A5" s="1" t="s">
        <v>14</v>
      </c>
      <c r="B5" s="1" t="s">
        <v>15</v>
      </c>
      <c r="C5" s="1" t="s">
        <v>16</v>
      </c>
      <c r="D5" s="1" t="s">
        <v>17</v>
      </c>
      <c r="E5" s="1" t="s">
        <v>18</v>
      </c>
      <c r="F5" s="1"/>
      <c r="G5" s="4" t="s">
        <v>19</v>
      </c>
      <c r="H5" s="1"/>
      <c r="I5" s="1"/>
      <c r="J5" s="2"/>
      <c r="K5" s="5"/>
    </row>
    <row r="6" spans="1:11" ht="150">
      <c r="A6" s="1" t="s">
        <v>21</v>
      </c>
      <c r="B6" s="1" t="s">
        <v>15</v>
      </c>
      <c r="C6" s="1" t="s">
        <v>22</v>
      </c>
      <c r="D6" s="1" t="s">
        <v>17</v>
      </c>
      <c r="E6" s="1" t="s">
        <v>18</v>
      </c>
      <c r="F6" s="1">
        <v>9</v>
      </c>
      <c r="G6" s="4" t="s">
        <v>23</v>
      </c>
      <c r="H6" s="1">
        <f t="shared" ref="H6:H29" si="0">F6</f>
        <v>9</v>
      </c>
      <c r="I6" s="1"/>
      <c r="J6" s="2" t="s">
        <v>20</v>
      </c>
      <c r="K6" s="5"/>
    </row>
    <row r="7" spans="1:11" ht="150">
      <c r="A7" s="1" t="s">
        <v>21</v>
      </c>
      <c r="B7" s="1" t="s">
        <v>15</v>
      </c>
      <c r="C7" s="1" t="s">
        <v>22</v>
      </c>
      <c r="D7" s="1" t="s">
        <v>17</v>
      </c>
      <c r="E7" s="1" t="s">
        <v>18</v>
      </c>
      <c r="F7" s="1"/>
      <c r="G7" s="4" t="s">
        <v>23</v>
      </c>
      <c r="H7" s="1">
        <f t="shared" si="0"/>
        <v>0</v>
      </c>
      <c r="I7" s="1"/>
      <c r="J7" s="2" t="s">
        <v>20</v>
      </c>
      <c r="K7" s="5"/>
    </row>
    <row r="8" spans="1:11" ht="150">
      <c r="A8" s="1" t="s">
        <v>24</v>
      </c>
      <c r="B8" s="1" t="s">
        <v>15</v>
      </c>
      <c r="C8" s="1" t="s">
        <v>25</v>
      </c>
      <c r="D8" s="1" t="s">
        <v>26</v>
      </c>
      <c r="E8" s="1" t="s">
        <v>27</v>
      </c>
      <c r="F8" s="1">
        <v>2</v>
      </c>
      <c r="G8" s="4" t="s">
        <v>19</v>
      </c>
      <c r="H8" s="1">
        <f t="shared" si="0"/>
        <v>2</v>
      </c>
      <c r="I8" s="1"/>
      <c r="J8" s="2" t="s">
        <v>20</v>
      </c>
      <c r="K8" s="5"/>
    </row>
    <row r="9" spans="1:11" ht="150">
      <c r="A9" s="1" t="s">
        <v>28</v>
      </c>
      <c r="B9" s="1" t="s">
        <v>15</v>
      </c>
      <c r="C9" s="1" t="s">
        <v>29</v>
      </c>
      <c r="D9" s="1" t="s">
        <v>26</v>
      </c>
      <c r="E9" s="1" t="s">
        <v>27</v>
      </c>
      <c r="F9" s="1">
        <v>3</v>
      </c>
      <c r="G9" s="4" t="s">
        <v>23</v>
      </c>
      <c r="H9" s="1">
        <v>3</v>
      </c>
      <c r="I9" s="1"/>
      <c r="J9" s="2" t="s">
        <v>20</v>
      </c>
      <c r="K9" s="5"/>
    </row>
    <row r="10" spans="1:11" ht="150">
      <c r="A10" s="1" t="s">
        <v>30</v>
      </c>
      <c r="B10" s="1" t="s">
        <v>15</v>
      </c>
      <c r="C10" s="1" t="s">
        <v>25</v>
      </c>
      <c r="D10" s="1" t="s">
        <v>26</v>
      </c>
      <c r="E10" s="1" t="s">
        <v>27</v>
      </c>
      <c r="F10" s="7">
        <v>3</v>
      </c>
      <c r="G10" s="4" t="s">
        <v>19</v>
      </c>
      <c r="H10" s="1">
        <f t="shared" si="0"/>
        <v>3</v>
      </c>
      <c r="I10" s="1"/>
      <c r="J10" s="2" t="s">
        <v>31</v>
      </c>
      <c r="K10" s="41" t="s">
        <v>32</v>
      </c>
    </row>
    <row r="11" spans="1:11" ht="150">
      <c r="A11" s="1" t="s">
        <v>30</v>
      </c>
      <c r="B11" s="1" t="s">
        <v>15</v>
      </c>
      <c r="C11" s="1" t="s">
        <v>25</v>
      </c>
      <c r="D11" s="1" t="s">
        <v>26</v>
      </c>
      <c r="E11" s="1" t="s">
        <v>27</v>
      </c>
      <c r="F11" s="7"/>
      <c r="G11" s="4" t="s">
        <v>19</v>
      </c>
      <c r="H11" s="1">
        <f t="shared" si="0"/>
        <v>0</v>
      </c>
      <c r="I11" s="1"/>
      <c r="J11" s="2" t="s">
        <v>31</v>
      </c>
      <c r="K11" s="5"/>
    </row>
    <row r="12" spans="1:11" ht="150">
      <c r="A12" s="1" t="s">
        <v>33</v>
      </c>
      <c r="B12" s="1" t="s">
        <v>15</v>
      </c>
      <c r="C12" s="1" t="s">
        <v>29</v>
      </c>
      <c r="D12" s="1" t="s">
        <v>26</v>
      </c>
      <c r="E12" s="1" t="s">
        <v>27</v>
      </c>
      <c r="F12" s="1">
        <v>3</v>
      </c>
      <c r="G12" s="4" t="s">
        <v>23</v>
      </c>
      <c r="H12" s="1">
        <f t="shared" si="0"/>
        <v>3</v>
      </c>
      <c r="I12" s="1"/>
      <c r="J12" s="2" t="s">
        <v>34</v>
      </c>
      <c r="K12" s="5"/>
    </row>
    <row r="13" spans="1:11" ht="150">
      <c r="A13" s="1" t="s">
        <v>33</v>
      </c>
      <c r="B13" s="1" t="s">
        <v>15</v>
      </c>
      <c r="C13" s="1" t="s">
        <v>29</v>
      </c>
      <c r="D13" s="1" t="s">
        <v>26</v>
      </c>
      <c r="E13" s="1" t="s">
        <v>27</v>
      </c>
      <c r="F13" s="1"/>
      <c r="G13" s="4" t="s">
        <v>23</v>
      </c>
      <c r="H13" s="1">
        <f t="shared" si="0"/>
        <v>0</v>
      </c>
      <c r="I13" s="1"/>
      <c r="J13" s="2" t="s">
        <v>34</v>
      </c>
      <c r="K13" s="5"/>
    </row>
    <row r="14" spans="1:11" ht="150">
      <c r="A14" s="1" t="s">
        <v>36</v>
      </c>
      <c r="B14" s="1" t="s">
        <v>15</v>
      </c>
      <c r="C14" s="1" t="s">
        <v>37</v>
      </c>
      <c r="D14" s="1" t="s">
        <v>38</v>
      </c>
      <c r="E14" s="1" t="s">
        <v>39</v>
      </c>
      <c r="F14" s="1">
        <v>18</v>
      </c>
      <c r="G14" s="4" t="s">
        <v>19</v>
      </c>
      <c r="H14" s="1">
        <f t="shared" si="0"/>
        <v>18</v>
      </c>
      <c r="I14" s="1"/>
      <c r="J14" s="2" t="s">
        <v>40</v>
      </c>
      <c r="K14" s="5"/>
    </row>
    <row r="15" spans="1:11" ht="150">
      <c r="A15" s="1" t="s">
        <v>36</v>
      </c>
      <c r="B15" s="1" t="s">
        <v>15</v>
      </c>
      <c r="C15" s="1" t="s">
        <v>37</v>
      </c>
      <c r="D15" s="1" t="s">
        <v>38</v>
      </c>
      <c r="E15" s="1" t="s">
        <v>39</v>
      </c>
      <c r="F15" s="1"/>
      <c r="G15" s="4" t="s">
        <v>19</v>
      </c>
      <c r="H15" s="1">
        <f t="shared" si="0"/>
        <v>0</v>
      </c>
      <c r="I15" s="1"/>
      <c r="J15" s="2" t="s">
        <v>40</v>
      </c>
      <c r="K15" s="5"/>
    </row>
    <row r="16" spans="1:11" ht="150">
      <c r="A16" s="1" t="s">
        <v>36</v>
      </c>
      <c r="B16" s="1" t="s">
        <v>15</v>
      </c>
      <c r="C16" s="1" t="s">
        <v>37</v>
      </c>
      <c r="D16" s="1" t="s">
        <v>38</v>
      </c>
      <c r="E16" s="1" t="s">
        <v>39</v>
      </c>
      <c r="F16" s="1"/>
      <c r="G16" s="4" t="s">
        <v>19</v>
      </c>
      <c r="H16" s="1">
        <f t="shared" si="0"/>
        <v>0</v>
      </c>
      <c r="I16" s="1"/>
      <c r="J16" s="2" t="s">
        <v>40</v>
      </c>
      <c r="K16" s="5"/>
    </row>
    <row r="17" spans="1:11" ht="150">
      <c r="A17" s="1" t="s">
        <v>41</v>
      </c>
      <c r="B17" s="1" t="s">
        <v>15</v>
      </c>
      <c r="C17" s="1" t="s">
        <v>42</v>
      </c>
      <c r="D17" s="1" t="s">
        <v>38</v>
      </c>
      <c r="E17" s="1" t="s">
        <v>39</v>
      </c>
      <c r="F17" s="8">
        <v>24</v>
      </c>
      <c r="G17" s="4" t="s">
        <v>23</v>
      </c>
      <c r="H17" s="1">
        <f t="shared" si="0"/>
        <v>24</v>
      </c>
      <c r="I17" s="1"/>
      <c r="J17" s="2" t="s">
        <v>43</v>
      </c>
      <c r="K17" s="41" t="s">
        <v>44</v>
      </c>
    </row>
    <row r="18" spans="1:11" ht="150">
      <c r="A18" s="1" t="s">
        <v>41</v>
      </c>
      <c r="B18" s="1" t="s">
        <v>15</v>
      </c>
      <c r="C18" s="1" t="s">
        <v>42</v>
      </c>
      <c r="D18" s="1" t="s">
        <v>38</v>
      </c>
      <c r="E18" s="1" t="s">
        <v>39</v>
      </c>
      <c r="F18" s="8"/>
      <c r="G18" s="4" t="s">
        <v>23</v>
      </c>
      <c r="H18" s="1">
        <f t="shared" si="0"/>
        <v>0</v>
      </c>
      <c r="I18" s="1"/>
      <c r="J18" s="2" t="s">
        <v>43</v>
      </c>
      <c r="K18" s="41"/>
    </row>
    <row r="19" spans="1:11" ht="150">
      <c r="A19" s="1" t="s">
        <v>41</v>
      </c>
      <c r="B19" s="1" t="s">
        <v>15</v>
      </c>
      <c r="C19" s="1" t="s">
        <v>42</v>
      </c>
      <c r="D19" s="1" t="s">
        <v>38</v>
      </c>
      <c r="E19" s="1" t="s">
        <v>39</v>
      </c>
      <c r="F19" s="8"/>
      <c r="G19" s="4" t="s">
        <v>23</v>
      </c>
      <c r="H19" s="1">
        <f t="shared" si="0"/>
        <v>0</v>
      </c>
      <c r="I19" s="1"/>
      <c r="J19" s="2" t="s">
        <v>43</v>
      </c>
      <c r="K19" s="41"/>
    </row>
    <row r="20" spans="1:11" ht="187.5">
      <c r="A20" s="1" t="s">
        <v>45</v>
      </c>
      <c r="B20" s="1" t="s">
        <v>15</v>
      </c>
      <c r="C20" s="1" t="s">
        <v>46</v>
      </c>
      <c r="D20" s="1" t="s">
        <v>47</v>
      </c>
      <c r="E20" s="1" t="s">
        <v>48</v>
      </c>
      <c r="F20" s="1">
        <v>1</v>
      </c>
      <c r="G20" s="4" t="s">
        <v>49</v>
      </c>
      <c r="H20" s="1">
        <f t="shared" si="0"/>
        <v>1</v>
      </c>
      <c r="I20" s="1"/>
      <c r="J20" s="2" t="s">
        <v>50</v>
      </c>
      <c r="K20" s="5"/>
    </row>
    <row r="21" spans="1:11" ht="18.75">
      <c r="A21" s="1"/>
      <c r="B21" s="1"/>
      <c r="C21" s="1"/>
      <c r="D21" s="1"/>
      <c r="E21" s="1"/>
      <c r="F21" s="1"/>
      <c r="G21" s="4" t="s">
        <v>51</v>
      </c>
      <c r="H21" s="1"/>
      <c r="I21" s="1"/>
      <c r="J21" s="2"/>
      <c r="K21" s="5"/>
    </row>
    <row r="22" spans="1:11" ht="18.75">
      <c r="A22" s="1"/>
      <c r="B22" s="1"/>
      <c r="C22" s="1"/>
      <c r="D22" s="1"/>
      <c r="E22" s="1"/>
      <c r="F22" s="1"/>
      <c r="G22" s="4" t="s">
        <v>52</v>
      </c>
      <c r="H22" s="1"/>
      <c r="I22" s="1"/>
      <c r="J22" s="2"/>
      <c r="K22" s="5"/>
    </row>
    <row r="23" spans="1:11" ht="36.75" customHeight="1">
      <c r="A23" s="1"/>
      <c r="B23" s="1"/>
      <c r="C23" s="1"/>
      <c r="D23" s="1"/>
      <c r="E23" s="1"/>
      <c r="F23" s="1"/>
      <c r="G23" s="4"/>
      <c r="H23" s="1"/>
      <c r="I23" s="1"/>
      <c r="J23" s="2"/>
      <c r="K23" s="5"/>
    </row>
    <row r="24" spans="1:11" ht="150" hidden="1">
      <c r="A24" s="9" t="s">
        <v>53</v>
      </c>
      <c r="B24" s="9" t="s">
        <v>15</v>
      </c>
      <c r="C24" s="9" t="s">
        <v>42</v>
      </c>
      <c r="D24" s="9" t="s">
        <v>38</v>
      </c>
      <c r="E24" s="9" t="s">
        <v>39</v>
      </c>
      <c r="F24" s="9">
        <v>1</v>
      </c>
      <c r="G24" s="10" t="s">
        <v>54</v>
      </c>
      <c r="H24" s="1">
        <f t="shared" si="0"/>
        <v>1</v>
      </c>
      <c r="I24" s="1">
        <v>1</v>
      </c>
      <c r="J24" s="2" t="s">
        <v>55</v>
      </c>
      <c r="K24" s="5"/>
    </row>
    <row r="25" spans="1:11" ht="170.25" hidden="1" customHeight="1">
      <c r="A25" s="9" t="s">
        <v>56</v>
      </c>
      <c r="B25" s="9" t="s">
        <v>15</v>
      </c>
      <c r="C25" s="9" t="s">
        <v>57</v>
      </c>
      <c r="D25" s="9" t="s">
        <v>58</v>
      </c>
      <c r="E25" s="9" t="s">
        <v>59</v>
      </c>
      <c r="F25" s="9">
        <v>2</v>
      </c>
      <c r="G25" s="10" t="s">
        <v>60</v>
      </c>
      <c r="H25" s="1">
        <v>4</v>
      </c>
      <c r="I25" s="1">
        <v>4</v>
      </c>
      <c r="J25" s="2" t="s">
        <v>55</v>
      </c>
      <c r="K25" s="11"/>
    </row>
    <row r="26" spans="1:11" ht="176.25" hidden="1" customHeight="1">
      <c r="A26" s="9" t="s">
        <v>61</v>
      </c>
      <c r="B26" s="9" t="s">
        <v>15</v>
      </c>
      <c r="C26" s="9" t="s">
        <v>62</v>
      </c>
      <c r="D26" s="9" t="s">
        <v>58</v>
      </c>
      <c r="E26" s="9" t="s">
        <v>59</v>
      </c>
      <c r="F26" s="9">
        <v>2</v>
      </c>
      <c r="G26" s="10" t="s">
        <v>63</v>
      </c>
      <c r="H26" s="1">
        <v>4</v>
      </c>
      <c r="I26" s="1">
        <v>4</v>
      </c>
      <c r="J26" s="2" t="s">
        <v>55</v>
      </c>
      <c r="K26" s="11"/>
    </row>
    <row r="27" spans="1:11" ht="176.25" hidden="1" customHeight="1">
      <c r="A27" s="9" t="s">
        <v>64</v>
      </c>
      <c r="B27" s="9" t="s">
        <v>15</v>
      </c>
      <c r="C27" s="9" t="s">
        <v>62</v>
      </c>
      <c r="D27" s="9" t="s">
        <v>58</v>
      </c>
      <c r="E27" s="9" t="s">
        <v>59</v>
      </c>
      <c r="F27" s="9">
        <v>1</v>
      </c>
      <c r="G27" s="10" t="s">
        <v>63</v>
      </c>
      <c r="H27" s="1">
        <v>2</v>
      </c>
      <c r="I27" s="1">
        <v>2</v>
      </c>
      <c r="J27" s="2" t="s">
        <v>55</v>
      </c>
      <c r="K27" s="11"/>
    </row>
    <row r="28" spans="1:11" ht="111" hidden="1" customHeight="1">
      <c r="A28" s="9" t="s">
        <v>65</v>
      </c>
      <c r="B28" s="9" t="s">
        <v>15</v>
      </c>
      <c r="C28" s="9" t="s">
        <v>25</v>
      </c>
      <c r="D28" s="9" t="s">
        <v>26</v>
      </c>
      <c r="E28" s="9" t="s">
        <v>27</v>
      </c>
      <c r="F28" s="9">
        <v>1</v>
      </c>
      <c r="G28" s="10" t="s">
        <v>66</v>
      </c>
      <c r="H28" s="1">
        <f t="shared" si="0"/>
        <v>1</v>
      </c>
      <c r="I28" s="1"/>
      <c r="J28" s="2" t="s">
        <v>67</v>
      </c>
      <c r="K28" s="11"/>
    </row>
    <row r="29" spans="1:11" ht="118.5" hidden="1" customHeight="1">
      <c r="A29" s="9" t="s">
        <v>68</v>
      </c>
      <c r="B29" s="9" t="s">
        <v>15</v>
      </c>
      <c r="C29" s="9" t="s">
        <v>42</v>
      </c>
      <c r="D29" s="9" t="s">
        <v>38</v>
      </c>
      <c r="E29" s="9" t="s">
        <v>39</v>
      </c>
      <c r="F29" s="12">
        <v>1</v>
      </c>
      <c r="G29" s="10" t="s">
        <v>69</v>
      </c>
      <c r="H29" s="1">
        <f t="shared" si="0"/>
        <v>1</v>
      </c>
      <c r="I29" s="2"/>
      <c r="J29" s="2" t="s">
        <v>67</v>
      </c>
      <c r="K29" s="13"/>
    </row>
    <row r="30" spans="1:11" ht="118.5" hidden="1" customHeight="1">
      <c r="A30" s="9" t="s">
        <v>70</v>
      </c>
      <c r="B30" s="9" t="s">
        <v>15</v>
      </c>
      <c r="C30" s="9" t="s">
        <v>71</v>
      </c>
      <c r="D30" s="9" t="s">
        <v>72</v>
      </c>
      <c r="E30" s="9" t="s">
        <v>73</v>
      </c>
      <c r="F30" s="12">
        <v>1</v>
      </c>
      <c r="G30" s="10" t="s">
        <v>69</v>
      </c>
      <c r="H30" s="1">
        <v>1</v>
      </c>
      <c r="I30" s="2"/>
      <c r="J30" s="2" t="s">
        <v>74</v>
      </c>
      <c r="K30" s="13"/>
    </row>
    <row r="31" spans="1:11" ht="160.5" hidden="1" customHeight="1">
      <c r="A31" s="14" t="s">
        <v>75</v>
      </c>
      <c r="B31" s="9" t="s">
        <v>15</v>
      </c>
      <c r="C31" s="9" t="s">
        <v>76</v>
      </c>
      <c r="D31" s="9" t="s">
        <v>77</v>
      </c>
      <c r="E31" s="9" t="s">
        <v>78</v>
      </c>
      <c r="F31" s="14">
        <v>1</v>
      </c>
      <c r="G31" s="10" t="s">
        <v>79</v>
      </c>
      <c r="H31" s="1">
        <v>4</v>
      </c>
      <c r="I31" s="2"/>
      <c r="J31" s="2" t="s">
        <v>80</v>
      </c>
    </row>
    <row r="32" spans="1:11" ht="160.5" hidden="1" customHeight="1">
      <c r="A32" s="14" t="s">
        <v>81</v>
      </c>
      <c r="B32" s="9" t="s">
        <v>15</v>
      </c>
      <c r="C32" s="9" t="s">
        <v>76</v>
      </c>
      <c r="D32" s="9" t="s">
        <v>77</v>
      </c>
      <c r="E32" s="9" t="s">
        <v>78</v>
      </c>
      <c r="F32" s="14">
        <v>1</v>
      </c>
      <c r="G32" s="10" t="s">
        <v>82</v>
      </c>
      <c r="H32" s="1">
        <v>4</v>
      </c>
      <c r="I32" s="2"/>
      <c r="J32" s="2" t="s">
        <v>80</v>
      </c>
    </row>
    <row r="33" spans="1:10" ht="18.75" hidden="1">
      <c r="H33" s="5"/>
      <c r="I33" s="5"/>
      <c r="J33" s="5"/>
    </row>
    <row r="34" spans="1:10" ht="18.75" hidden="1">
      <c r="H34" s="5"/>
      <c r="I34" s="5"/>
      <c r="J34" s="5"/>
    </row>
    <row r="35" spans="1:10" ht="18.75" hidden="1">
      <c r="A35" s="5"/>
      <c r="B35" s="5"/>
      <c r="C35" s="5"/>
      <c r="D35" s="15"/>
      <c r="E35" s="5"/>
      <c r="F35" s="5"/>
      <c r="G35" s="5"/>
      <c r="H35" s="5"/>
      <c r="I35" s="5"/>
      <c r="J35" s="5"/>
    </row>
    <row r="36" spans="1:10" ht="21" hidden="1" customHeight="1">
      <c r="A36" s="97"/>
      <c r="B36" s="98"/>
      <c r="C36" s="98"/>
      <c r="D36" s="98"/>
      <c r="E36" s="98"/>
      <c r="F36" s="98"/>
      <c r="G36" s="99"/>
      <c r="H36" s="5"/>
      <c r="I36" s="5"/>
      <c r="J36" s="5"/>
    </row>
    <row r="37" spans="1:10" ht="18.75" hidden="1">
      <c r="A37" s="2"/>
      <c r="B37" s="2"/>
      <c r="C37" s="2"/>
      <c r="D37" s="2"/>
      <c r="E37" s="2"/>
      <c r="F37" s="2"/>
      <c r="G37" s="2"/>
      <c r="H37" s="5"/>
      <c r="I37" s="5"/>
      <c r="J37" s="5"/>
    </row>
    <row r="38" spans="1:10" ht="18.75" hidden="1">
      <c r="A38" s="2"/>
      <c r="B38" s="16"/>
      <c r="C38" s="2"/>
      <c r="D38" s="2"/>
      <c r="E38" s="2"/>
      <c r="F38" s="2"/>
      <c r="G38" s="2"/>
      <c r="H38" s="5"/>
      <c r="I38" s="5"/>
      <c r="J38" s="5"/>
    </row>
    <row r="39" spans="1:10" ht="18.75" hidden="1">
      <c r="A39" s="2"/>
      <c r="B39" s="16"/>
      <c r="C39" s="2"/>
      <c r="D39" s="2"/>
      <c r="E39" s="2"/>
      <c r="F39" s="2"/>
      <c r="G39" s="2"/>
      <c r="H39" s="6"/>
      <c r="I39" s="5"/>
      <c r="J39" s="5"/>
    </row>
    <row r="40" spans="1:10" ht="18.75" hidden="1">
      <c r="A40" s="2"/>
      <c r="B40" s="16"/>
      <c r="C40" s="2"/>
      <c r="D40" s="17"/>
      <c r="E40" s="17"/>
      <c r="F40" s="2"/>
      <c r="G40" s="2"/>
      <c r="H40" s="5"/>
      <c r="I40" s="5"/>
      <c r="J40" s="5"/>
    </row>
    <row r="41" spans="1:10" ht="18.75" hidden="1">
      <c r="A41" s="2"/>
      <c r="B41" s="16"/>
      <c r="C41" s="2"/>
      <c r="D41" s="17"/>
      <c r="E41" s="17"/>
      <c r="F41" s="2"/>
      <c r="G41" s="2"/>
    </row>
    <row r="42" spans="1:10" ht="18.75" hidden="1">
      <c r="A42" s="2"/>
      <c r="B42" s="16"/>
      <c r="C42" s="2"/>
      <c r="D42" s="2"/>
      <c r="E42" s="2"/>
      <c r="F42" s="2"/>
      <c r="G42" s="2"/>
    </row>
    <row r="43" spans="1:10" hidden="1"/>
    <row r="44" spans="1:10" hidden="1"/>
    <row r="45" spans="1:10" ht="19.5" hidden="1">
      <c r="A45" s="18"/>
      <c r="B45" s="18"/>
      <c r="C45" s="18"/>
      <c r="F45" s="18"/>
      <c r="G45" s="18"/>
    </row>
    <row r="46" spans="1:10" ht="19.5" hidden="1">
      <c r="A46" s="19"/>
      <c r="B46" s="19"/>
      <c r="C46" s="19"/>
      <c r="D46" s="18"/>
      <c r="E46" s="18"/>
      <c r="F46" s="19"/>
      <c r="G46" s="19"/>
    </row>
    <row r="47" spans="1:10" ht="18.75" hidden="1">
      <c r="A47" s="19"/>
      <c r="B47" s="2"/>
      <c r="C47" s="20"/>
      <c r="D47" s="2"/>
      <c r="E47" s="2"/>
      <c r="F47" s="19"/>
      <c r="G47" s="20"/>
    </row>
    <row r="48" spans="1:10" ht="18.75" hidden="1">
      <c r="A48" s="19"/>
      <c r="B48" s="2"/>
      <c r="C48" s="20"/>
      <c r="D48" s="19"/>
      <c r="E48" s="19"/>
      <c r="F48" s="19"/>
      <c r="G48" s="20"/>
    </row>
    <row r="49" spans="1:8" ht="18.75" hidden="1">
      <c r="A49" s="19"/>
      <c r="B49" s="2"/>
      <c r="C49" s="20"/>
      <c r="D49" s="19"/>
      <c r="E49" s="19"/>
      <c r="F49" s="19"/>
      <c r="G49" s="20"/>
    </row>
    <row r="50" spans="1:8" ht="18.75" hidden="1">
      <c r="A50" s="19"/>
      <c r="B50" s="2"/>
      <c r="C50" s="20"/>
      <c r="D50" s="19"/>
      <c r="E50" s="19"/>
      <c r="F50" s="19"/>
      <c r="G50" s="20"/>
    </row>
    <row r="51" spans="1:8" ht="18.75" hidden="1">
      <c r="A51" s="19"/>
      <c r="B51" s="2"/>
      <c r="C51" s="20"/>
      <c r="D51" s="19"/>
      <c r="E51" s="19"/>
      <c r="F51" s="19"/>
      <c r="G51" s="20"/>
    </row>
    <row r="52" spans="1:8" ht="18.75" hidden="1">
      <c r="A52" s="21"/>
      <c r="B52" s="21"/>
      <c r="C52" s="21"/>
      <c r="D52" s="19"/>
      <c r="E52" s="21"/>
      <c r="F52" s="21"/>
      <c r="G52" s="21"/>
    </row>
    <row r="53" spans="1:8" ht="18.75" hidden="1">
      <c r="A53" s="21"/>
      <c r="B53" s="21"/>
      <c r="C53" s="21"/>
      <c r="D53" s="21"/>
      <c r="E53" s="21"/>
      <c r="F53" s="21"/>
      <c r="G53" s="21"/>
    </row>
    <row r="54" spans="1:8" ht="18.75" hidden="1">
      <c r="A54" s="22"/>
      <c r="B54" s="22"/>
      <c r="C54" s="22"/>
      <c r="D54" s="21"/>
      <c r="E54" s="21"/>
      <c r="F54" s="22"/>
      <c r="G54" s="22"/>
    </row>
    <row r="55" spans="1:8" ht="18.75" hidden="1">
      <c r="A55" s="22"/>
      <c r="B55" s="22"/>
      <c r="C55" s="22"/>
      <c r="D55" s="22"/>
      <c r="E55" s="22"/>
      <c r="F55" s="22"/>
      <c r="G55" s="22"/>
    </row>
    <row r="56" spans="1:8" ht="18.75" hidden="1">
      <c r="A56" s="22"/>
      <c r="B56" s="22"/>
      <c r="C56" s="22"/>
      <c r="D56" s="22"/>
      <c r="E56" s="22"/>
      <c r="F56" s="22"/>
      <c r="G56" s="22"/>
    </row>
    <row r="57" spans="1:8" ht="21" hidden="1" customHeight="1">
      <c r="A57" s="100"/>
      <c r="B57" s="100"/>
      <c r="C57" s="100"/>
      <c r="D57" s="100"/>
      <c r="E57" s="100"/>
      <c r="F57" s="100"/>
      <c r="G57" s="100"/>
      <c r="H57" s="100"/>
    </row>
    <row r="58" spans="1:8" ht="18.75">
      <c r="A58" s="2"/>
      <c r="B58" s="2"/>
      <c r="C58" s="2"/>
      <c r="D58" s="2"/>
      <c r="E58" s="2"/>
      <c r="F58" s="2"/>
      <c r="G58" s="2"/>
      <c r="H58" s="2"/>
    </row>
    <row r="59" spans="1:8" ht="34.5" customHeight="1">
      <c r="A59" s="101"/>
      <c r="B59" s="103"/>
      <c r="C59" s="101"/>
      <c r="D59" s="101"/>
      <c r="E59" s="17"/>
      <c r="F59" s="101"/>
      <c r="G59" s="2"/>
      <c r="H59" s="19"/>
    </row>
    <row r="60" spans="1:8" ht="18.75">
      <c r="A60" s="102"/>
      <c r="B60" s="104"/>
      <c r="C60" s="102"/>
      <c r="D60" s="102"/>
      <c r="E60" s="23"/>
      <c r="F60" s="102"/>
      <c r="G60" s="2"/>
      <c r="H60" s="19"/>
    </row>
    <row r="61" spans="1:8" ht="18.75">
      <c r="A61" s="24"/>
      <c r="B61" s="25"/>
      <c r="C61" s="24"/>
      <c r="D61" s="24"/>
      <c r="E61" s="24"/>
      <c r="F61" s="24"/>
      <c r="G61" s="2"/>
      <c r="H61" s="19"/>
    </row>
    <row r="62" spans="1:8" ht="18.75">
      <c r="A62" s="24"/>
      <c r="B62" s="25"/>
      <c r="C62" s="24"/>
      <c r="D62" s="24"/>
      <c r="E62" s="24"/>
      <c r="F62" s="24"/>
      <c r="G62" s="2"/>
      <c r="H62" s="19"/>
    </row>
    <row r="63" spans="1:8" ht="34.5" customHeight="1">
      <c r="A63" s="101"/>
      <c r="B63" s="103"/>
      <c r="C63" s="101"/>
      <c r="D63" s="101"/>
      <c r="E63" s="17"/>
      <c r="F63" s="101"/>
      <c r="G63" s="2"/>
      <c r="H63" s="19"/>
    </row>
    <row r="64" spans="1:8" ht="18.75">
      <c r="A64" s="105"/>
      <c r="B64" s="106"/>
      <c r="C64" s="105"/>
      <c r="D64" s="105"/>
      <c r="E64" s="24"/>
      <c r="F64" s="105"/>
      <c r="G64" s="2"/>
      <c r="H64" s="19"/>
    </row>
    <row r="65" spans="1:8" ht="18.75">
      <c r="A65" s="105"/>
      <c r="B65" s="106"/>
      <c r="C65" s="105"/>
      <c r="D65" s="105"/>
      <c r="E65" s="24"/>
      <c r="F65" s="105"/>
      <c r="G65" s="2"/>
      <c r="H65" s="19"/>
    </row>
    <row r="66" spans="1:8" ht="18.75">
      <c r="A66" s="102"/>
      <c r="B66" s="104"/>
      <c r="C66" s="102"/>
      <c r="D66" s="102"/>
      <c r="E66" s="23"/>
      <c r="F66" s="102"/>
      <c r="G66" s="2"/>
      <c r="H66" s="19"/>
    </row>
    <row r="67" spans="1:8" ht="18.75">
      <c r="A67" s="26"/>
      <c r="B67" s="26"/>
      <c r="C67" s="26"/>
      <c r="D67" s="26"/>
      <c r="E67" s="26"/>
      <c r="F67" s="26"/>
      <c r="G67" s="2"/>
      <c r="H67" s="19"/>
    </row>
    <row r="69" spans="1:8" ht="21" thickBot="1">
      <c r="A69" s="94" t="s">
        <v>83</v>
      </c>
      <c r="B69" s="94"/>
      <c r="C69" s="94"/>
      <c r="D69" s="94"/>
      <c r="E69" s="94"/>
      <c r="F69" s="94"/>
      <c r="G69" s="94"/>
    </row>
    <row r="70" spans="1:8" ht="57" thickBot="1">
      <c r="A70" s="27" t="s">
        <v>1</v>
      </c>
      <c r="B70" s="28" t="s">
        <v>2</v>
      </c>
      <c r="C70" s="28" t="s">
        <v>3</v>
      </c>
      <c r="D70" s="28" t="s">
        <v>4</v>
      </c>
      <c r="E70" s="28"/>
      <c r="F70" s="28" t="s">
        <v>84</v>
      </c>
      <c r="G70" s="29" t="s">
        <v>7</v>
      </c>
    </row>
    <row r="71" spans="1:8" ht="75">
      <c r="A71" s="30" t="s">
        <v>85</v>
      </c>
      <c r="B71" s="31" t="s">
        <v>86</v>
      </c>
      <c r="C71" s="32" t="s">
        <v>87</v>
      </c>
      <c r="D71" s="32" t="s">
        <v>88</v>
      </c>
      <c r="E71" s="32"/>
      <c r="F71" s="32">
        <v>2</v>
      </c>
      <c r="G71" s="33" t="s">
        <v>89</v>
      </c>
    </row>
    <row r="72" spans="1:8" ht="75">
      <c r="A72" s="34" t="s">
        <v>90</v>
      </c>
      <c r="B72" s="35" t="s">
        <v>86</v>
      </c>
      <c r="C72" s="1" t="s">
        <v>91</v>
      </c>
      <c r="D72" s="1" t="s">
        <v>92</v>
      </c>
      <c r="E72" s="1"/>
      <c r="F72" s="1">
        <v>2</v>
      </c>
      <c r="G72" s="36" t="s">
        <v>93</v>
      </c>
    </row>
    <row r="73" spans="1:8" ht="56.25">
      <c r="A73" s="34" t="s">
        <v>94</v>
      </c>
      <c r="B73" s="35" t="s">
        <v>86</v>
      </c>
      <c r="C73" s="1" t="s">
        <v>95</v>
      </c>
      <c r="D73" s="1" t="s">
        <v>96</v>
      </c>
      <c r="E73" s="1"/>
      <c r="F73" s="1">
        <v>2</v>
      </c>
      <c r="G73" s="36" t="s">
        <v>97</v>
      </c>
    </row>
    <row r="74" spans="1:8" ht="56.25">
      <c r="A74" s="34" t="s">
        <v>98</v>
      </c>
      <c r="B74" s="35" t="s">
        <v>86</v>
      </c>
      <c r="C74" s="1" t="s">
        <v>99</v>
      </c>
      <c r="D74" s="1" t="s">
        <v>100</v>
      </c>
      <c r="E74" s="1"/>
      <c r="F74" s="1">
        <v>1</v>
      </c>
      <c r="G74" s="36" t="s">
        <v>97</v>
      </c>
    </row>
    <row r="75" spans="1:8" ht="56.25">
      <c r="A75" s="34" t="s">
        <v>101</v>
      </c>
      <c r="B75" s="4" t="s">
        <v>102</v>
      </c>
      <c r="C75" s="1" t="s">
        <v>103</v>
      </c>
      <c r="D75" s="1" t="s">
        <v>88</v>
      </c>
      <c r="E75" s="1"/>
      <c r="F75" s="1">
        <v>1</v>
      </c>
      <c r="G75" s="36" t="s">
        <v>104</v>
      </c>
    </row>
    <row r="76" spans="1:8" ht="60" customHeight="1">
      <c r="A76" s="34" t="s">
        <v>105</v>
      </c>
      <c r="B76" s="4" t="s">
        <v>102</v>
      </c>
      <c r="C76" s="1" t="s">
        <v>106</v>
      </c>
      <c r="D76" s="1" t="s">
        <v>107</v>
      </c>
      <c r="E76" s="1"/>
      <c r="F76" s="1">
        <v>2</v>
      </c>
      <c r="G76" s="36" t="s">
        <v>108</v>
      </c>
    </row>
    <row r="77" spans="1:8" ht="60" customHeight="1">
      <c r="A77" s="34" t="s">
        <v>109</v>
      </c>
      <c r="B77" s="4" t="s">
        <v>102</v>
      </c>
      <c r="C77" s="1" t="s">
        <v>110</v>
      </c>
      <c r="D77" s="1" t="s">
        <v>107</v>
      </c>
      <c r="E77" s="1"/>
      <c r="F77" s="1">
        <v>1</v>
      </c>
      <c r="G77" s="36" t="s">
        <v>111</v>
      </c>
    </row>
    <row r="78" spans="1:8" ht="60" customHeight="1">
      <c r="A78" s="34" t="s">
        <v>112</v>
      </c>
      <c r="B78" s="4" t="s">
        <v>102</v>
      </c>
      <c r="C78" s="1" t="s">
        <v>113</v>
      </c>
      <c r="D78" s="1" t="s">
        <v>114</v>
      </c>
      <c r="E78" s="1"/>
      <c r="F78" s="1">
        <v>2</v>
      </c>
      <c r="G78" s="36" t="s">
        <v>115</v>
      </c>
    </row>
    <row r="79" spans="1:8" ht="37.5">
      <c r="A79" s="34" t="s">
        <v>116</v>
      </c>
      <c r="B79" s="4"/>
      <c r="C79" s="1" t="s">
        <v>117</v>
      </c>
      <c r="D79" s="1" t="s">
        <v>118</v>
      </c>
      <c r="E79" s="1"/>
      <c r="F79" s="1">
        <v>10</v>
      </c>
      <c r="G79" s="36" t="s">
        <v>119</v>
      </c>
    </row>
    <row r="80" spans="1:8" ht="37.5">
      <c r="A80" s="34" t="s">
        <v>120</v>
      </c>
      <c r="B80" s="4"/>
      <c r="C80" s="1" t="s">
        <v>117</v>
      </c>
      <c r="D80" s="1" t="s">
        <v>121</v>
      </c>
      <c r="E80" s="1"/>
      <c r="F80" s="1">
        <v>8</v>
      </c>
      <c r="G80" s="36" t="s">
        <v>119</v>
      </c>
    </row>
    <row r="81" spans="1:7" ht="75.75" thickBot="1">
      <c r="A81" s="37" t="s">
        <v>122</v>
      </c>
      <c r="B81" s="38" t="s">
        <v>123</v>
      </c>
      <c r="C81" s="39" t="s">
        <v>124</v>
      </c>
      <c r="D81" s="39" t="s">
        <v>125</v>
      </c>
      <c r="E81" s="39"/>
      <c r="F81" s="39">
        <v>1</v>
      </c>
      <c r="G81" s="40" t="s">
        <v>126</v>
      </c>
    </row>
  </sheetData>
  <mergeCells count="14">
    <mergeCell ref="A69:G69"/>
    <mergeCell ref="A2:J2"/>
    <mergeCell ref="A36:G36"/>
    <mergeCell ref="A57:H57"/>
    <mergeCell ref="A59:A60"/>
    <mergeCell ref="B59:B60"/>
    <mergeCell ref="C59:C60"/>
    <mergeCell ref="D59:D60"/>
    <mergeCell ref="F59:F60"/>
    <mergeCell ref="A63:A66"/>
    <mergeCell ref="B63:B66"/>
    <mergeCell ref="C63:C66"/>
    <mergeCell ref="D63:D66"/>
    <mergeCell ref="F63:F66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</vt:i4>
      </vt:variant>
    </vt:vector>
  </HeadingPairs>
  <TitlesOfParts>
    <vt:vector size="3" baseType="lpstr">
      <vt:lpstr>1</vt:lpstr>
      <vt:lpstr>коммент к вед по объемам 7.12. </vt:lpstr>
      <vt:lpstr>'1'!Область_печати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Бондарчук Ирина Анатольевна</dc:creator>
  <cp:lastModifiedBy>Коваленко Константин Эдуардович</cp:lastModifiedBy>
  <dcterms:created xsi:type="dcterms:W3CDTF">2022-12-07T16:12:42Z</dcterms:created>
  <dcterms:modified xsi:type="dcterms:W3CDTF">2022-12-15T09:14:05Z</dcterms:modified>
</cp:coreProperties>
</file>